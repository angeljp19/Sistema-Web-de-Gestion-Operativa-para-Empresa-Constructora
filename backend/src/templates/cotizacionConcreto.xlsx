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975C20F9-A04B-4067-B2B6-7587B84BF46C}" xr6:coauthVersionLast="47" xr6:coauthVersionMax="47" xr10:uidLastSave="{00000000-0000-0000-0000-000000000000}"/>
  <bookViews>
    <workbookView xWindow="-120" yWindow="-120" windowWidth="15600" windowHeight="11310" firstSheet="3" activeTab="3" xr2:uid="{00000000-000D-0000-FFFF-FFFF00000000}"/>
  </bookViews>
  <sheets>
    <sheet name="C.C. 24 - 0001" sheetId="24" r:id="rId1"/>
    <sheet name="C.C. 24 - 0001 (2)" sheetId="25" r:id="rId2"/>
    <sheet name="C.C. 24 - 0001 (3)" sheetId="26" r:id="rId3"/>
    <sheet name="Hoja1" sheetId="27" r:id="rId4"/>
  </sheets>
  <definedNames>
    <definedName name="_xlnm.Print_Area" localSheetId="0">'C.C. 24 - 0001'!$A$1:$H$55</definedName>
    <definedName name="_xlnm.Print_Area" localSheetId="1">'C.C. 24 - 0001 (2)'!$A$1:$H$48</definedName>
    <definedName name="_xlnm.Print_Area" localSheetId="2">'C.C. 24 - 0001 (3)'!$A$1:$H$45</definedName>
    <definedName name="_xlnm.Print_Area" localSheetId="3">Hoja1!$A$1:$P$38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25" l="1"/>
  <c r="K26" i="25" l="1"/>
  <c r="H10" i="27" l="1"/>
  <c r="H15" i="26" l="1"/>
  <c r="H22" i="26" s="1"/>
  <c r="H25" i="26" s="1"/>
  <c r="H10" i="26"/>
  <c r="H20" i="25" l="1"/>
  <c r="H18" i="25"/>
  <c r="H15" i="25" l="1"/>
  <c r="H25" i="25" s="1"/>
  <c r="H10" i="25"/>
  <c r="H28" i="25" l="1"/>
  <c r="H15" i="24"/>
  <c r="H32" i="24" s="1"/>
  <c r="H10" i="24"/>
  <c r="H33" i="24" l="1"/>
  <c r="H35" i="24" s="1"/>
</calcChain>
</file>

<file path=xl/sharedStrings.xml><?xml version="1.0" encoding="utf-8"?>
<sst xmlns="http://schemas.openxmlformats.org/spreadsheetml/2006/main" count="152" uniqueCount="54">
  <si>
    <t>Cotización Nº:</t>
  </si>
  <si>
    <t>Fecha:</t>
  </si>
  <si>
    <t>Por favor hacer referencia en su orden de compra</t>
  </si>
  <si>
    <t>ATENCIÓN:</t>
  </si>
  <si>
    <t>TELÉFONO:</t>
  </si>
  <si>
    <t>RIF:</t>
  </si>
  <si>
    <t>DIRECCIÓN:</t>
  </si>
  <si>
    <t>Cantidad</t>
  </si>
  <si>
    <t>Ítem</t>
  </si>
  <si>
    <t xml:space="preserve">Descripción </t>
  </si>
  <si>
    <t>Persona de Cont:</t>
  </si>
  <si>
    <t>Validez de Oferta:</t>
  </si>
  <si>
    <t>Cond. de Pago:</t>
  </si>
  <si>
    <t>Nº Directo:</t>
  </si>
  <si>
    <t>% de Descuento:</t>
  </si>
  <si>
    <t>Condiciones de la Oferta:</t>
  </si>
  <si>
    <t>Nro. de Cot. Cliente:</t>
  </si>
  <si>
    <t>UM</t>
  </si>
  <si>
    <t>RESISTENCIA REQUERIDA</t>
  </si>
  <si>
    <t>I.V.A (16%):</t>
  </si>
  <si>
    <t>CONTADO</t>
  </si>
  <si>
    <t xml:space="preserve">P.U </t>
  </si>
  <si>
    <t xml:space="preserve">Total </t>
  </si>
  <si>
    <t>M3</t>
  </si>
  <si>
    <t>0426-5917741</t>
  </si>
  <si>
    <t>Sub-Total ($):</t>
  </si>
  <si>
    <t>Total $</t>
  </si>
  <si>
    <t xml:space="preserve">CONCRETO PREMEZCLADO </t>
  </si>
  <si>
    <t>TASA DE CAMBIO BCV</t>
  </si>
  <si>
    <t>CONDICIONES DE LA OFERTA</t>
  </si>
  <si>
    <t xml:space="preserve">CLIENTE: </t>
  </si>
  <si>
    <t>ARQUIMEDES MARQUEZ</t>
  </si>
  <si>
    <t>DATOS BANCARIOS: CONSTRUCTORA CUYUNI C.A.  RIF J-408827590</t>
  </si>
  <si>
    <t>2 DIAS</t>
  </si>
  <si>
    <t>BCO. PROVINCIAL: 0108-0088-91-0100931680</t>
  </si>
  <si>
    <t>BCO. VENEZUELA: 0102-0636-71-0000596352</t>
  </si>
  <si>
    <t>CONCRETO PREMEZCLADO TAMAÑO MÁXIMO DE 3/4", CON ADITIVO HIDROFUGO, F'C 250 KG/CM2. ASENTAMIENTO 5", VUC= 4 HRS, COLOCADO EN TUMEREMO - EDO. BOLÍVAR</t>
  </si>
  <si>
    <t>C.C. 25 -0001</t>
  </si>
  <si>
    <t>0412-2494143</t>
  </si>
  <si>
    <t>FERRETERIA EL MINERITO</t>
  </si>
  <si>
    <t>EL AEROPUERTO EL DORADO, MUNICIPIO SIFONTES - EDO. BOLÍVAR</t>
  </si>
  <si>
    <t>SR ARKIN</t>
  </si>
  <si>
    <t>CONCRETO PREMEZCLADO TAMAÑO MÁXIMO DE 3/8", F'C 210 KG/CM2. ASENTAMIENTO 7", VUC= 4 HRS, COLOCADO EL DORADO - EDO. BOLÍVAR</t>
  </si>
  <si>
    <t>UND</t>
  </si>
  <si>
    <t xml:space="preserve">FIBRA DE POLIPROPILENO </t>
  </si>
  <si>
    <t>ALQUILER DE EQUIPO BOMBA</t>
  </si>
  <si>
    <t>C.C. 25 -0002</t>
  </si>
  <si>
    <t>ARTURO QUINTERO</t>
  </si>
  <si>
    <t>C.C. 25 -0003</t>
  </si>
  <si>
    <t>FRANCISCO PION</t>
  </si>
  <si>
    <t>C.C. 25 -0004</t>
  </si>
  <si>
    <t xml:space="preserve">MOLINO 4D </t>
  </si>
  <si>
    <t xml:space="preserve">SR FRANCISCO PION </t>
  </si>
  <si>
    <t xml:space="preserve">PAGO EN DIVISAS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</si>
</sst>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USD]\ * #,##0.00_ ;_ [$USD]\ * \-#,##0.00_ ;_ [$USD]\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C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vertical="top" wrapText="1"/>
    </xf>
    <xf numFmtId="0" fontId="4" fillId="3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 applyProtection="1">
      <alignment horizontal="left" vertical="center"/>
      <protection locked="0"/>
    </xf>
    <xf numFmtId="22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 applyProtection="1">
      <alignment horizontal="left"/>
      <protection locked="0"/>
    </xf>
    <xf numFmtId="1" fontId="3" fillId="2" borderId="0" xfId="0" applyNumberFormat="1" applyFont="1" applyFill="1" applyAlignment="1">
      <alignment horizontal="center" vertical="center"/>
    </xf>
    <xf numFmtId="43" fontId="9" fillId="2" borderId="0" xfId="1" applyFont="1" applyFill="1" applyAlignment="1" applyProtection="1">
      <alignment horizontal="center"/>
      <protection locked="0"/>
    </xf>
    <xf numFmtId="0" fontId="8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left"/>
      <protection locked="0"/>
    </xf>
    <xf numFmtId="2" fontId="2" fillId="2" borderId="0" xfId="0" applyNumberFormat="1" applyFont="1" applyFill="1" applyAlignment="1" applyProtection="1">
      <alignment horizontal="right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2" fontId="2" fillId="2" borderId="2" xfId="0" applyNumberFormat="1" applyFont="1" applyFill="1" applyBorder="1" applyAlignment="1" applyProtection="1">
      <alignment horizontal="right"/>
      <protection locked="0"/>
    </xf>
    <xf numFmtId="2" fontId="2" fillId="2" borderId="13" xfId="0" applyNumberFormat="1" applyFont="1" applyFill="1" applyBorder="1" applyAlignment="1" applyProtection="1">
      <alignment horizontal="right"/>
      <protection locked="0"/>
    </xf>
    <xf numFmtId="2" fontId="2" fillId="2" borderId="13" xfId="0" applyNumberFormat="1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left"/>
    </xf>
    <xf numFmtId="43" fontId="2" fillId="2" borderId="0" xfId="1" applyFont="1" applyFill="1" applyAlignment="1" applyProtection="1">
      <alignment horizontal="center" vertical="center"/>
      <protection locked="0"/>
    </xf>
    <xf numFmtId="43" fontId="2" fillId="2" borderId="0" xfId="1" applyFont="1" applyFill="1" applyAlignment="1" applyProtection="1">
      <alignment horizontal="center"/>
      <protection locked="0"/>
    </xf>
    <xf numFmtId="43" fontId="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left"/>
    </xf>
    <xf numFmtId="0" fontId="2" fillId="2" borderId="0" xfId="0" applyFont="1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left"/>
      <protection locked="0"/>
    </xf>
    <xf numFmtId="2" fontId="2" fillId="2" borderId="8" xfId="0" applyNumberFormat="1" applyFont="1" applyFill="1" applyBorder="1" applyAlignment="1" applyProtection="1">
      <alignment horizontal="center"/>
      <protection locked="0"/>
    </xf>
    <xf numFmtId="2" fontId="2" fillId="2" borderId="8" xfId="0" applyNumberFormat="1" applyFont="1" applyFill="1" applyBorder="1" applyAlignment="1" applyProtection="1">
      <protection locked="0"/>
    </xf>
    <xf numFmtId="0" fontId="2" fillId="2" borderId="13" xfId="0" applyFont="1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2" fontId="2" fillId="2" borderId="0" xfId="0" applyNumberFormat="1" applyFont="1" applyFill="1" applyBorder="1" applyAlignment="1" applyProtection="1">
      <alignment horizontal="center"/>
      <protection locked="0"/>
    </xf>
    <xf numFmtId="2" fontId="2" fillId="2" borderId="14" xfId="0" applyNumberFormat="1" applyFont="1" applyFill="1" applyBorder="1" applyAlignment="1" applyProtection="1">
      <alignment horizontal="center"/>
      <protection locked="0"/>
    </xf>
    <xf numFmtId="0" fontId="9" fillId="2" borderId="0" xfId="0" applyFont="1" applyFill="1" applyAlignment="1">
      <alignment horizontal="right" vertical="center"/>
    </xf>
    <xf numFmtId="0" fontId="0" fillId="2" borderId="0" xfId="0" applyFill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2" fontId="2" fillId="2" borderId="13" xfId="0" applyNumberFormat="1" applyFont="1" applyFill="1" applyBorder="1" applyAlignment="1" applyProtection="1">
      <alignment horizontal="center" vertical="center"/>
      <protection locked="0"/>
    </xf>
    <xf numFmtId="2" fontId="2" fillId="2" borderId="13" xfId="0" applyNumberFormat="1" applyFont="1" applyFill="1" applyBorder="1" applyAlignment="1" applyProtection="1">
      <alignment horizontal="right" vertic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left" vertical="top" wrapText="1"/>
      <protection locked="0"/>
    </xf>
    <xf numFmtId="0" fontId="9" fillId="2" borderId="7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2" borderId="15" xfId="0" applyFont="1" applyFill="1" applyBorder="1" applyAlignment="1" applyProtection="1">
      <alignment vertical="center"/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 wrapText="1"/>
      <protection locked="0"/>
    </xf>
    <xf numFmtId="0" fontId="2" fillId="2" borderId="13" xfId="0" applyFont="1" applyFill="1" applyBorder="1" applyAlignment="1" applyProtection="1">
      <alignment horizontal="left" vertical="center" wrapText="1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0" fillId="2" borderId="7" xfId="0" applyFont="1" applyFill="1" applyBorder="1" applyAlignment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9" fillId="2" borderId="0" xfId="0" applyFont="1" applyFill="1" applyAlignment="1">
      <alignment horizontal="right" vertical="center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9" fillId="2" borderId="0" xfId="0" applyFont="1" applyFill="1" applyAlignment="1">
      <alignment horizontal="right" vertical="center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2" fontId="2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2" fillId="2" borderId="13" xfId="0" applyNumberFormat="1" applyFont="1" applyFill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2" fillId="5" borderId="13" xfId="0" applyFont="1" applyFill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0" fillId="5" borderId="0" xfId="0" applyFill="1" applyAlignment="1">
      <alignment horizontal="center"/>
    </xf>
    <xf numFmtId="2" fontId="2" fillId="5" borderId="13" xfId="0" applyNumberFormat="1" applyFont="1" applyFill="1" applyBorder="1" applyAlignment="1" applyProtection="1">
      <alignment vertical="center"/>
      <protection locked="0"/>
    </xf>
    <xf numFmtId="0" fontId="2" fillId="5" borderId="3" xfId="0" applyFont="1" applyFill="1" applyBorder="1" applyAlignment="1" applyProtection="1">
      <alignment horizontal="center"/>
      <protection locked="0"/>
    </xf>
    <xf numFmtId="0" fontId="2" fillId="5" borderId="11" xfId="0" applyFont="1" applyFill="1" applyBorder="1" applyAlignment="1" applyProtection="1">
      <alignment horizontal="center"/>
      <protection locked="0"/>
    </xf>
    <xf numFmtId="2" fontId="2" fillId="5" borderId="3" xfId="0" applyNumberFormat="1" applyFont="1" applyFill="1" applyBorder="1" applyAlignment="1" applyProtection="1">
      <alignment vertical="center"/>
      <protection locked="0"/>
    </xf>
    <xf numFmtId="0" fontId="2" fillId="5" borderId="13" xfId="0" applyFont="1" applyFill="1" applyBorder="1" applyAlignment="1" applyProtection="1">
      <alignment horizontal="center" vertical="center"/>
      <protection locked="0"/>
    </xf>
    <xf numFmtId="0" fontId="2" fillId="5" borderId="13" xfId="0" applyFont="1" applyFill="1" applyBorder="1" applyAlignment="1" applyProtection="1">
      <alignment vertical="center" wrapText="1"/>
      <protection locked="0"/>
    </xf>
    <xf numFmtId="2" fontId="2" fillId="5" borderId="13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2" fontId="2" fillId="2" borderId="13" xfId="0" applyNumberFormat="1" applyFont="1" applyFill="1" applyBorder="1" applyAlignment="1" applyProtection="1">
      <alignment horizontal="right" vertic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left" vertical="center" wrapText="1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8" fillId="3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right" vertical="center"/>
    </xf>
    <xf numFmtId="0" fontId="2" fillId="2" borderId="10" xfId="0" applyFont="1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center"/>
      <protection locked="0"/>
    </xf>
    <xf numFmtId="2" fontId="2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5" borderId="13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5" borderId="13" xfId="0" applyFont="1" applyFill="1" applyBorder="1" applyAlignment="1" applyProtection="1">
      <alignment horizontal="center" vertical="center"/>
      <protection locked="0"/>
    </xf>
    <xf numFmtId="2" fontId="2" fillId="5" borderId="13" xfId="0" applyNumberFormat="1" applyFont="1" applyFill="1" applyBorder="1" applyAlignment="1" applyProtection="1">
      <alignment horizontal="right" vertical="center"/>
      <protection locked="0"/>
    </xf>
    <xf numFmtId="0" fontId="2" fillId="5" borderId="8" xfId="0" applyFont="1" applyFill="1" applyBorder="1" applyAlignment="1" applyProtection="1">
      <alignment horizontal="center"/>
      <protection locked="0"/>
    </xf>
    <xf numFmtId="0" fontId="2" fillId="5" borderId="9" xfId="0" applyFont="1" applyFill="1" applyBorder="1" applyAlignment="1" applyProtection="1">
      <alignment horizontal="center"/>
      <protection locked="0"/>
    </xf>
    <xf numFmtId="0" fontId="2" fillId="5" borderId="11" xfId="0" applyFont="1" applyFill="1" applyBorder="1" applyAlignment="1" applyProtection="1">
      <alignment horizontal="center"/>
      <protection locked="0"/>
    </xf>
    <xf numFmtId="0" fontId="2" fillId="5" borderId="12" xfId="0" applyFont="1" applyFill="1" applyBorder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Border="1"/>
    <xf numFmtId="0" fontId="4" fillId="2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0" fillId="2" borderId="0" xfId="0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0" fillId="2" borderId="1" xfId="0" applyFont="1" applyFill="1" applyBorder="1" applyAlignment="1" applyProtection="1">
      <alignment horizontal="left"/>
      <protection locked="0"/>
    </xf>
    <xf numFmtId="0" fontId="9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 applyProtection="1">
      <alignment horizontal="left"/>
      <protection locked="0"/>
    </xf>
    <xf numFmtId="2" fontId="2" fillId="2" borderId="7" xfId="0" applyNumberFormat="1" applyFont="1" applyFill="1" applyBorder="1" applyAlignment="1" applyProtection="1">
      <alignment horizontal="right"/>
      <protection locked="0"/>
    </xf>
    <xf numFmtId="2" fontId="2" fillId="2" borderId="16" xfId="0" applyNumberFormat="1" applyFont="1" applyFill="1" applyBorder="1" applyAlignment="1" applyProtection="1">
      <alignment horizontal="right"/>
      <protection locked="0"/>
    </xf>
    <xf numFmtId="43" fontId="2" fillId="2" borderId="16" xfId="1" applyFont="1" applyFill="1" applyBorder="1" applyAlignment="1" applyProtection="1">
      <alignment horizontal="center" vertical="center"/>
      <protection locked="0"/>
    </xf>
    <xf numFmtId="43" fontId="2" fillId="2" borderId="16" xfId="1" applyFont="1" applyFill="1" applyBorder="1" applyAlignment="1" applyProtection="1">
      <alignment horizontal="center"/>
      <protection locked="0"/>
    </xf>
    <xf numFmtId="43" fontId="2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43" fontId="9" fillId="2" borderId="16" xfId="1" applyFont="1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left"/>
      <protection locked="0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9" fillId="2" borderId="1" xfId="0" applyFont="1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66FF99"/>
      <color rgb="FFF2FCF2"/>
      <color rgb="FFDAF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55566</xdr:colOff>
      <xdr:row>9</xdr:row>
      <xdr:rowOff>134946</xdr:rowOff>
    </xdr:from>
    <xdr:to>
      <xdr:col>7</xdr:col>
      <xdr:colOff>732132</xdr:colOff>
      <xdr:row>9</xdr:row>
      <xdr:rowOff>135025</xdr:rowOff>
    </xdr:to>
    <xdr:cxnSp macro="">
      <xdr:nvCxnSpPr>
        <xdr:cNvPr id="2" name="9 Conector rec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751516" y="1906596"/>
          <a:ext cx="676566" cy="79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728132</xdr:colOff>
      <xdr:row>26</xdr:row>
      <xdr:rowOff>110492</xdr:rowOff>
    </xdr:from>
    <xdr:to>
      <xdr:col>3</xdr:col>
      <xdr:colOff>2295525</xdr:colOff>
      <xdr:row>30</xdr:row>
      <xdr:rowOff>160599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082" y="5111117"/>
          <a:ext cx="1567393" cy="812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37</xdr:row>
          <xdr:rowOff>0</xdr:rowOff>
        </xdr:from>
        <xdr:to>
          <xdr:col>7</xdr:col>
          <xdr:colOff>752475</xdr:colOff>
          <xdr:row>55</xdr:row>
          <xdr:rowOff>47625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0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55566</xdr:colOff>
      <xdr:row>9</xdr:row>
      <xdr:rowOff>134946</xdr:rowOff>
    </xdr:from>
    <xdr:to>
      <xdr:col>7</xdr:col>
      <xdr:colOff>732132</xdr:colOff>
      <xdr:row>9</xdr:row>
      <xdr:rowOff>135025</xdr:rowOff>
    </xdr:to>
    <xdr:cxnSp macro="">
      <xdr:nvCxnSpPr>
        <xdr:cNvPr id="2" name="9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751516" y="1801821"/>
          <a:ext cx="676566" cy="79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904875</xdr:colOff>
      <xdr:row>24</xdr:row>
      <xdr:rowOff>48195</xdr:rowOff>
    </xdr:from>
    <xdr:to>
      <xdr:col>3</xdr:col>
      <xdr:colOff>2324100</xdr:colOff>
      <xdr:row>28</xdr:row>
      <xdr:rowOff>126307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096320"/>
          <a:ext cx="1419225" cy="735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29</xdr:row>
          <xdr:rowOff>133350</xdr:rowOff>
        </xdr:from>
        <xdr:to>
          <xdr:col>7</xdr:col>
          <xdr:colOff>781050</xdr:colOff>
          <xdr:row>48</xdr:row>
          <xdr:rowOff>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1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55566</xdr:colOff>
      <xdr:row>9</xdr:row>
      <xdr:rowOff>134946</xdr:rowOff>
    </xdr:from>
    <xdr:to>
      <xdr:col>7</xdr:col>
      <xdr:colOff>732132</xdr:colOff>
      <xdr:row>9</xdr:row>
      <xdr:rowOff>135025</xdr:rowOff>
    </xdr:to>
    <xdr:cxnSp macro="">
      <xdr:nvCxnSpPr>
        <xdr:cNvPr id="2" name="9 Conector rec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751516" y="1801821"/>
          <a:ext cx="676566" cy="79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904875</xdr:colOff>
      <xdr:row>21</xdr:row>
      <xdr:rowOff>48195</xdr:rowOff>
    </xdr:from>
    <xdr:to>
      <xdr:col>3</xdr:col>
      <xdr:colOff>2324100</xdr:colOff>
      <xdr:row>25</xdr:row>
      <xdr:rowOff>126307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096320"/>
          <a:ext cx="1419225" cy="735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26</xdr:row>
          <xdr:rowOff>133350</xdr:rowOff>
        </xdr:from>
        <xdr:to>
          <xdr:col>7</xdr:col>
          <xdr:colOff>781050</xdr:colOff>
          <xdr:row>45</xdr:row>
          <xdr:rowOff>9525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2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55566</xdr:colOff>
      <xdr:row>9</xdr:row>
      <xdr:rowOff>134946</xdr:rowOff>
    </xdr:from>
    <xdr:to>
      <xdr:col>7</xdr:col>
      <xdr:colOff>732132</xdr:colOff>
      <xdr:row>9</xdr:row>
      <xdr:rowOff>135025</xdr:rowOff>
    </xdr:to>
    <xdr:cxnSp macro="">
      <xdr:nvCxnSpPr>
        <xdr:cNvPr id="2" name="9 Conector rec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751516" y="1801821"/>
          <a:ext cx="676566" cy="79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213781</xdr:colOff>
      <xdr:row>30</xdr:row>
      <xdr:rowOff>160564</xdr:rowOff>
    </xdr:from>
    <xdr:to>
      <xdr:col>12</xdr:col>
      <xdr:colOff>263977</xdr:colOff>
      <xdr:row>34</xdr:row>
      <xdr:rowOff>62353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8567" y="5480957"/>
          <a:ext cx="1574196" cy="650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28574</xdr:colOff>
          <xdr:row>11</xdr:row>
          <xdr:rowOff>13607</xdr:rowOff>
        </xdr:from>
        <xdr:to>
          <xdr:col>14</xdr:col>
          <xdr:colOff>684438</xdr:colOff>
          <xdr:row>29</xdr:row>
          <xdr:rowOff>125186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3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.doc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5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4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image" Target="../media/image6.emf"/><Relationship Id="rId5" Type="http://schemas.openxmlformats.org/officeDocument/2006/relationships/oleObject" Target="../embeddings/Microsoft_Word_97_-_2003_Document2.doc"/><Relationship Id="rId4" Type="http://schemas.openxmlformats.org/officeDocument/2006/relationships/vmlDrawing" Target="../drawings/vmlDrawing6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image" Target="../media/image7.emf"/><Relationship Id="rId5" Type="http://schemas.openxmlformats.org/officeDocument/2006/relationships/oleObject" Target="../embeddings/Microsoft_Word_97_-_2003_Document3.doc"/><Relationship Id="rId4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99"/>
  </sheetPr>
  <dimension ref="A1:I50"/>
  <sheetViews>
    <sheetView view="pageBreakPreview" zoomScaleNormal="100" zoomScaleSheetLayoutView="100" workbookViewId="0">
      <selection activeCell="J11" sqref="J11"/>
    </sheetView>
  </sheetViews>
  <sheetFormatPr baseColWidth="10" defaultRowHeight="15" x14ac:dyDescent="0.25"/>
  <cols>
    <col min="1" max="1" width="4.7109375" style="5" customWidth="1"/>
    <col min="2" max="2" width="7.140625" style="5" customWidth="1"/>
    <col min="3" max="3" width="5" style="5" customWidth="1"/>
    <col min="4" max="4" width="43.5703125" style="5" customWidth="1"/>
    <col min="5" max="5" width="6.28515625" style="5" customWidth="1"/>
    <col min="6" max="6" width="5.85546875" style="5" customWidth="1"/>
    <col min="7" max="7" width="12.85546875" style="5" customWidth="1"/>
    <col min="8" max="8" width="13" style="5" customWidth="1"/>
    <col min="9" max="9" width="15.140625" customWidth="1"/>
  </cols>
  <sheetData>
    <row r="1" spans="1:9" ht="33" customHeight="1" x14ac:dyDescent="0.25">
      <c r="A1" s="104" t="s">
        <v>30</v>
      </c>
      <c r="B1" s="104"/>
      <c r="C1" s="105"/>
      <c r="D1" s="105"/>
      <c r="E1" s="2"/>
      <c r="F1" s="2"/>
      <c r="G1" s="106" t="s">
        <v>2</v>
      </c>
      <c r="H1" s="106"/>
    </row>
    <row r="2" spans="1:9" ht="12.95" customHeight="1" x14ac:dyDescent="0.25">
      <c r="C2" s="107"/>
      <c r="D2" s="107"/>
      <c r="E2" s="36"/>
      <c r="F2" s="2"/>
      <c r="G2" s="3" t="s">
        <v>0</v>
      </c>
      <c r="H2" s="3" t="s">
        <v>1</v>
      </c>
    </row>
    <row r="3" spans="1:9" ht="12.95" customHeight="1" x14ac:dyDescent="0.25">
      <c r="A3" s="104" t="s">
        <v>5</v>
      </c>
      <c r="B3" s="104"/>
      <c r="C3" s="108"/>
      <c r="D3" s="108"/>
      <c r="E3" s="37"/>
      <c r="F3" s="2"/>
      <c r="G3" s="11" t="s">
        <v>37</v>
      </c>
      <c r="H3" s="12"/>
    </row>
    <row r="4" spans="1:9" ht="12.95" customHeight="1" x14ac:dyDescent="0.25">
      <c r="C4" s="103"/>
      <c r="D4" s="103"/>
      <c r="E4" s="103"/>
      <c r="F4" s="2"/>
      <c r="G4" s="3" t="s">
        <v>11</v>
      </c>
      <c r="H4" s="3" t="s">
        <v>12</v>
      </c>
    </row>
    <row r="5" spans="1:9" ht="12.95" customHeight="1" x14ac:dyDescent="0.25">
      <c r="A5" s="104" t="s">
        <v>4</v>
      </c>
      <c r="B5" s="104"/>
      <c r="C5" s="112"/>
      <c r="D5" s="112"/>
      <c r="E5" s="52"/>
      <c r="F5" s="2"/>
      <c r="G5" s="13" t="s">
        <v>33</v>
      </c>
      <c r="H5" s="10" t="s">
        <v>20</v>
      </c>
    </row>
    <row r="6" spans="1:9" ht="12.75" customHeight="1" x14ac:dyDescent="0.25">
      <c r="C6" s="113"/>
      <c r="D6" s="113"/>
      <c r="E6" s="113"/>
      <c r="F6" s="2"/>
      <c r="G6" s="7" t="s">
        <v>10</v>
      </c>
      <c r="H6" s="7" t="s">
        <v>13</v>
      </c>
    </row>
    <row r="7" spans="1:9" ht="12.75" customHeight="1" x14ac:dyDescent="0.25">
      <c r="A7" s="104" t="s">
        <v>6</v>
      </c>
      <c r="B7" s="104"/>
      <c r="C7" s="112"/>
      <c r="D7" s="112"/>
      <c r="E7" s="37"/>
      <c r="F7" s="2"/>
      <c r="G7" s="124" t="s">
        <v>31</v>
      </c>
      <c r="H7" s="118" t="s">
        <v>24</v>
      </c>
    </row>
    <row r="8" spans="1:9" ht="9" customHeight="1" x14ac:dyDescent="0.25">
      <c r="C8" s="69"/>
      <c r="D8" s="69"/>
      <c r="E8" s="38"/>
      <c r="F8" s="2"/>
      <c r="G8" s="125"/>
      <c r="H8" s="119"/>
    </row>
    <row r="9" spans="1:9" ht="12.95" customHeight="1" x14ac:dyDescent="0.25">
      <c r="C9" s="9"/>
      <c r="D9" s="9"/>
      <c r="E9" s="9"/>
      <c r="F9" s="2"/>
      <c r="G9" s="14"/>
      <c r="H9" s="14"/>
    </row>
    <row r="10" spans="1:9" ht="12.95" customHeight="1" x14ac:dyDescent="0.25">
      <c r="A10" s="104" t="s">
        <v>3</v>
      </c>
      <c r="B10" s="104"/>
      <c r="C10" s="120"/>
      <c r="D10" s="120"/>
      <c r="E10" s="120"/>
      <c r="F10" s="2"/>
      <c r="G10" s="15" t="s">
        <v>16</v>
      </c>
      <c r="H10" s="17" t="str">
        <f>+G3</f>
        <v>C.C. 25 -0001</v>
      </c>
    </row>
    <row r="11" spans="1:9" ht="12.95" customHeight="1" thickBot="1" x14ac:dyDescent="0.3">
      <c r="A11" s="4"/>
      <c r="B11" s="4"/>
      <c r="C11" s="121"/>
      <c r="D11" s="121"/>
      <c r="E11" s="121"/>
      <c r="F11" s="2"/>
      <c r="G11" s="2"/>
      <c r="H11" s="2"/>
      <c r="I11" s="1"/>
    </row>
    <row r="12" spans="1:9" ht="22.5" customHeight="1" thickBot="1" x14ac:dyDescent="0.3">
      <c r="A12" s="19" t="s">
        <v>8</v>
      </c>
      <c r="B12" s="19" t="s">
        <v>7</v>
      </c>
      <c r="C12" s="19" t="s">
        <v>17</v>
      </c>
      <c r="D12" s="19" t="s">
        <v>9</v>
      </c>
      <c r="E12" s="122" t="s">
        <v>18</v>
      </c>
      <c r="F12" s="123"/>
      <c r="G12" s="20" t="s">
        <v>21</v>
      </c>
      <c r="H12" s="20" t="s">
        <v>22</v>
      </c>
      <c r="I12" s="6"/>
    </row>
    <row r="13" spans="1:9" x14ac:dyDescent="0.25">
      <c r="A13" s="23"/>
      <c r="B13" s="56"/>
      <c r="C13" s="23"/>
      <c r="D13" s="59" t="s">
        <v>27</v>
      </c>
      <c r="E13" s="60"/>
      <c r="F13" s="61"/>
      <c r="G13" s="50"/>
      <c r="H13" s="26"/>
      <c r="I13" s="1"/>
    </row>
    <row r="14" spans="1:9" x14ac:dyDescent="0.25">
      <c r="A14" s="24"/>
      <c r="B14" s="40"/>
      <c r="C14" s="24"/>
      <c r="D14" s="62"/>
      <c r="E14" s="63"/>
      <c r="F14" s="64"/>
      <c r="G14" s="42"/>
      <c r="H14" s="27"/>
      <c r="I14" s="1"/>
    </row>
    <row r="15" spans="1:9" ht="15" customHeight="1" x14ac:dyDescent="0.25">
      <c r="A15" s="114">
        <v>1</v>
      </c>
      <c r="B15" s="114">
        <v>22</v>
      </c>
      <c r="C15" s="114" t="s">
        <v>23</v>
      </c>
      <c r="D15" s="115" t="s">
        <v>36</v>
      </c>
      <c r="E15" s="116">
        <v>250</v>
      </c>
      <c r="F15" s="117"/>
      <c r="G15" s="129">
        <v>220</v>
      </c>
      <c r="H15" s="109">
        <f>G15*B15</f>
        <v>4840</v>
      </c>
      <c r="I15" s="1"/>
    </row>
    <row r="16" spans="1:9" x14ac:dyDescent="0.25">
      <c r="A16" s="114"/>
      <c r="B16" s="114"/>
      <c r="C16" s="114"/>
      <c r="D16" s="115"/>
      <c r="E16" s="116"/>
      <c r="F16" s="117"/>
      <c r="G16" s="129"/>
      <c r="H16" s="109"/>
      <c r="I16" s="1"/>
    </row>
    <row r="17" spans="1:9" ht="22.5" customHeight="1" x14ac:dyDescent="0.25">
      <c r="A17" s="114"/>
      <c r="B17" s="114"/>
      <c r="C17" s="114"/>
      <c r="D17" s="115"/>
      <c r="E17" s="116"/>
      <c r="F17" s="117"/>
      <c r="G17" s="129"/>
      <c r="H17" s="109"/>
      <c r="I17" s="1"/>
    </row>
    <row r="18" spans="1:9" ht="12" customHeight="1" x14ac:dyDescent="0.25">
      <c r="A18" s="53"/>
      <c r="B18" s="53"/>
      <c r="C18" s="53"/>
      <c r="D18" s="65"/>
      <c r="E18" s="110"/>
      <c r="F18" s="111"/>
      <c r="G18" s="54"/>
      <c r="H18" s="55"/>
      <c r="I18" s="1"/>
    </row>
    <row r="19" spans="1:9" x14ac:dyDescent="0.25">
      <c r="A19" s="53"/>
      <c r="B19" s="47"/>
      <c r="C19" s="48"/>
      <c r="D19" s="66"/>
      <c r="E19" s="110"/>
      <c r="F19" s="111"/>
      <c r="G19" s="49"/>
      <c r="H19" s="27"/>
      <c r="I19" s="1"/>
    </row>
    <row r="20" spans="1:9" x14ac:dyDescent="0.25">
      <c r="A20" s="53"/>
      <c r="B20" s="47"/>
      <c r="C20" s="48"/>
      <c r="D20" s="58"/>
      <c r="E20" s="46"/>
      <c r="F20" s="67"/>
      <c r="G20" s="49"/>
      <c r="H20" s="27"/>
      <c r="I20" s="1"/>
    </row>
    <row r="21" spans="1:9" x14ac:dyDescent="0.25">
      <c r="A21" s="53"/>
      <c r="B21" s="47"/>
      <c r="C21" s="48"/>
      <c r="D21" s="68"/>
      <c r="E21" s="46"/>
      <c r="F21" s="67"/>
      <c r="G21" s="49"/>
      <c r="H21" s="27"/>
      <c r="I21" s="1"/>
    </row>
    <row r="22" spans="1:9" x14ac:dyDescent="0.25">
      <c r="A22" s="53"/>
      <c r="B22" s="47"/>
      <c r="C22" s="48"/>
      <c r="D22" s="58"/>
      <c r="E22" s="46"/>
      <c r="F22" s="67"/>
      <c r="G22" s="49"/>
      <c r="H22" s="27"/>
      <c r="I22" s="1"/>
    </row>
    <row r="23" spans="1:9" x14ac:dyDescent="0.25">
      <c r="A23" s="53"/>
      <c r="B23" s="47"/>
      <c r="C23" s="48"/>
      <c r="D23" s="58"/>
      <c r="E23" s="46"/>
      <c r="F23" s="67"/>
      <c r="G23" s="49"/>
      <c r="H23" s="27"/>
      <c r="I23" s="1"/>
    </row>
    <row r="24" spans="1:9" x14ac:dyDescent="0.25">
      <c r="A24" s="53"/>
      <c r="B24" s="47"/>
      <c r="C24" s="48"/>
      <c r="D24" s="58"/>
      <c r="E24" s="46"/>
      <c r="F24" s="67"/>
      <c r="G24" s="49"/>
      <c r="H24" s="28"/>
      <c r="I24" s="1"/>
    </row>
    <row r="25" spans="1:9" x14ac:dyDescent="0.25">
      <c r="A25" s="53"/>
      <c r="B25" s="47"/>
      <c r="C25" s="48"/>
      <c r="D25" s="58"/>
      <c r="E25" s="46"/>
      <c r="F25" s="67"/>
      <c r="G25" s="49"/>
      <c r="H25" s="28"/>
      <c r="I25" s="1"/>
    </row>
    <row r="26" spans="1:9" x14ac:dyDescent="0.25">
      <c r="A26" s="24"/>
      <c r="B26" s="45"/>
      <c r="C26" s="46"/>
      <c r="D26" s="44"/>
      <c r="E26" s="46"/>
      <c r="F26" s="67"/>
      <c r="G26" s="22"/>
      <c r="H26" s="27"/>
      <c r="I26" s="1"/>
    </row>
    <row r="27" spans="1:9" x14ac:dyDescent="0.25">
      <c r="A27" s="24"/>
      <c r="B27" s="40"/>
      <c r="C27" s="46"/>
      <c r="D27" s="41"/>
      <c r="E27" s="110"/>
      <c r="F27" s="111"/>
      <c r="G27" s="43"/>
      <c r="H27" s="27"/>
      <c r="I27" s="1"/>
    </row>
    <row r="28" spans="1:9" x14ac:dyDescent="0.25">
      <c r="A28" s="24"/>
      <c r="B28" s="45"/>
      <c r="C28" s="24"/>
      <c r="D28" s="21"/>
      <c r="E28" s="110"/>
      <c r="F28" s="111"/>
      <c r="G28" s="45"/>
      <c r="H28" s="24"/>
      <c r="I28" s="1"/>
    </row>
    <row r="29" spans="1:9" x14ac:dyDescent="0.25">
      <c r="A29" s="24"/>
      <c r="B29" s="45"/>
      <c r="C29" s="24"/>
      <c r="E29" s="46"/>
      <c r="F29" s="67"/>
      <c r="G29" s="45"/>
      <c r="H29" s="24"/>
      <c r="I29" s="1"/>
    </row>
    <row r="30" spans="1:9" x14ac:dyDescent="0.25">
      <c r="A30" s="24"/>
      <c r="B30" s="45"/>
      <c r="C30" s="24"/>
      <c r="E30" s="46"/>
      <c r="F30" s="67"/>
      <c r="G30" s="45"/>
      <c r="H30" s="24"/>
      <c r="I30" s="1"/>
    </row>
    <row r="31" spans="1:9" x14ac:dyDescent="0.25">
      <c r="A31" s="25"/>
      <c r="B31" s="57"/>
      <c r="C31" s="25"/>
      <c r="D31" s="35"/>
      <c r="E31" s="127"/>
      <c r="F31" s="128"/>
      <c r="G31" s="57"/>
      <c r="H31" s="25"/>
      <c r="I31" s="1"/>
    </row>
    <row r="32" spans="1:9" x14ac:dyDescent="0.25">
      <c r="A32" s="33" t="s">
        <v>15</v>
      </c>
      <c r="B32" s="2"/>
      <c r="C32" s="2"/>
      <c r="D32" s="2"/>
      <c r="E32" s="2"/>
      <c r="F32" s="126" t="s">
        <v>25</v>
      </c>
      <c r="G32" s="126"/>
      <c r="H32" s="30">
        <f>SUM(H13:H31)</f>
        <v>4840</v>
      </c>
      <c r="I32" s="1"/>
    </row>
    <row r="33" spans="1:9" ht="11.25" customHeight="1" x14ac:dyDescent="0.25">
      <c r="A33" s="29" t="s">
        <v>28</v>
      </c>
      <c r="B33" s="34"/>
      <c r="C33" s="34"/>
      <c r="D33" s="2"/>
      <c r="E33" s="2"/>
      <c r="F33" s="126" t="s">
        <v>19</v>
      </c>
      <c r="G33" s="126"/>
      <c r="H33" s="31">
        <f>+H32*0.16</f>
        <v>774.4</v>
      </c>
      <c r="I33" s="1"/>
    </row>
    <row r="34" spans="1:9" ht="12.75" customHeight="1" x14ac:dyDescent="0.25">
      <c r="A34" s="39" t="s">
        <v>32</v>
      </c>
      <c r="B34" s="34"/>
      <c r="C34" s="34"/>
      <c r="D34" s="2"/>
      <c r="E34" s="2"/>
      <c r="F34" s="126" t="s">
        <v>14</v>
      </c>
      <c r="G34" s="126"/>
      <c r="H34" s="31">
        <v>0</v>
      </c>
      <c r="I34" s="1"/>
    </row>
    <row r="35" spans="1:9" ht="12.75" customHeight="1" x14ac:dyDescent="0.25">
      <c r="A35" s="39" t="s">
        <v>34</v>
      </c>
      <c r="B35" s="34"/>
      <c r="C35" s="34"/>
      <c r="D35" s="2"/>
      <c r="E35" s="2"/>
      <c r="F35" s="126" t="s">
        <v>26</v>
      </c>
      <c r="G35" s="126"/>
      <c r="H35" s="32">
        <f>SUM(H32:H34)</f>
        <v>5614.4</v>
      </c>
      <c r="I35" s="1"/>
    </row>
    <row r="36" spans="1:9" ht="12.75" customHeight="1" x14ac:dyDescent="0.25">
      <c r="A36" s="39" t="s">
        <v>35</v>
      </c>
      <c r="B36" s="34"/>
      <c r="C36" s="34"/>
      <c r="D36" s="2"/>
      <c r="E36" s="2"/>
      <c r="F36" s="51"/>
      <c r="G36" s="51"/>
      <c r="H36" s="32"/>
      <c r="I36" s="1"/>
    </row>
    <row r="37" spans="1:9" ht="11.25" customHeight="1" x14ac:dyDescent="0.25">
      <c r="B37" s="8"/>
      <c r="C37" s="8"/>
      <c r="D37" s="15" t="s">
        <v>29</v>
      </c>
      <c r="E37" s="8"/>
      <c r="I37" s="1"/>
    </row>
    <row r="38" spans="1:9" x14ac:dyDescent="0.25">
      <c r="B38" s="8"/>
      <c r="C38" s="8"/>
      <c r="D38" s="8"/>
      <c r="E38" s="8"/>
      <c r="F38" s="51"/>
      <c r="G38" s="51"/>
      <c r="H38" s="32"/>
      <c r="I38" s="1"/>
    </row>
    <row r="39" spans="1:9" x14ac:dyDescent="0.25">
      <c r="B39" s="8"/>
      <c r="C39" s="8"/>
      <c r="D39" s="8"/>
      <c r="E39" s="8"/>
      <c r="F39" s="51"/>
      <c r="G39" s="51"/>
      <c r="H39" s="32"/>
      <c r="I39" s="1"/>
    </row>
    <row r="40" spans="1:9" ht="12.75" customHeight="1" x14ac:dyDescent="0.25">
      <c r="B40" s="16"/>
      <c r="C40" s="16"/>
      <c r="D40" s="16"/>
      <c r="E40" s="16"/>
      <c r="H40" s="18"/>
      <c r="I40" s="1"/>
    </row>
    <row r="41" spans="1:9" ht="11.25" customHeight="1" x14ac:dyDescent="0.25">
      <c r="B41" s="16"/>
      <c r="C41" s="16"/>
      <c r="D41" s="16"/>
      <c r="E41" s="16"/>
      <c r="F41" s="16"/>
      <c r="G41" s="16"/>
      <c r="H41" s="16"/>
      <c r="I41" s="1"/>
    </row>
    <row r="42" spans="1:9" ht="8.25" customHeight="1" x14ac:dyDescent="0.25">
      <c r="A42" s="16"/>
      <c r="B42" s="16"/>
      <c r="C42" s="16"/>
      <c r="D42" s="16"/>
      <c r="E42" s="16"/>
      <c r="F42" s="16"/>
      <c r="G42" s="16"/>
      <c r="H42" s="16"/>
      <c r="I42" s="1"/>
    </row>
    <row r="43" spans="1:9" ht="14.1" customHeight="1" x14ac:dyDescent="0.25">
      <c r="A43" s="16"/>
      <c r="B43" s="16"/>
      <c r="C43" s="16"/>
      <c r="D43" s="16"/>
      <c r="E43" s="16"/>
      <c r="F43" s="16"/>
      <c r="G43" s="16"/>
      <c r="H43" s="16"/>
      <c r="I43" s="1"/>
    </row>
    <row r="44" spans="1:9" ht="14.1" customHeight="1" x14ac:dyDescent="0.25">
      <c r="F44" s="16"/>
      <c r="G44" s="16"/>
      <c r="H44" s="16"/>
      <c r="I44" s="1"/>
    </row>
    <row r="45" spans="1:9" ht="14.1" customHeight="1" x14ac:dyDescent="0.25">
      <c r="A45" s="2"/>
      <c r="B45" s="2"/>
      <c r="C45" s="2"/>
      <c r="D45" s="2"/>
      <c r="E45" s="2"/>
      <c r="I45" s="1"/>
    </row>
    <row r="46" spans="1:9" ht="14.1" customHeight="1" x14ac:dyDescent="0.25">
      <c r="A46" s="2"/>
      <c r="B46" s="2"/>
      <c r="C46" s="2"/>
      <c r="D46" s="2"/>
      <c r="E46" s="2"/>
      <c r="F46" s="2"/>
      <c r="G46" s="2"/>
      <c r="H46" s="2"/>
      <c r="I46" s="1"/>
    </row>
    <row r="47" spans="1:9" ht="14.1" customHeight="1" x14ac:dyDescent="0.25">
      <c r="A47" s="2"/>
      <c r="B47" s="2"/>
      <c r="C47" s="2"/>
      <c r="D47" s="2"/>
      <c r="E47" s="2"/>
      <c r="F47" s="2"/>
      <c r="G47" s="2"/>
      <c r="H47" s="2"/>
      <c r="I47" s="1"/>
    </row>
    <row r="48" spans="1:9" ht="14.1" customHeight="1" x14ac:dyDescent="0.25">
      <c r="A48" s="2"/>
      <c r="B48" s="2"/>
      <c r="C48" s="2"/>
      <c r="D48" s="2"/>
      <c r="E48" s="2"/>
      <c r="F48" s="2"/>
      <c r="G48" s="2"/>
      <c r="H48" s="2"/>
      <c r="I48" s="1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1"/>
    </row>
    <row r="50" spans="1:9" x14ac:dyDescent="0.25">
      <c r="F50" s="2"/>
      <c r="G50" s="2"/>
      <c r="H50" s="2"/>
      <c r="I50" s="1"/>
    </row>
  </sheetData>
  <mergeCells count="33">
    <mergeCell ref="C11:E11"/>
    <mergeCell ref="E12:F12"/>
    <mergeCell ref="G7:G8"/>
    <mergeCell ref="F35:G35"/>
    <mergeCell ref="E27:F27"/>
    <mergeCell ref="E31:F31"/>
    <mergeCell ref="F32:G32"/>
    <mergeCell ref="F33:G33"/>
    <mergeCell ref="F34:G34"/>
    <mergeCell ref="E28:F28"/>
    <mergeCell ref="G15:G17"/>
    <mergeCell ref="H15:H17"/>
    <mergeCell ref="E18:F18"/>
    <mergeCell ref="E19:F19"/>
    <mergeCell ref="A5:B5"/>
    <mergeCell ref="C5:D5"/>
    <mergeCell ref="C6:E6"/>
    <mergeCell ref="A7:B7"/>
    <mergeCell ref="C7:D7"/>
    <mergeCell ref="A15:A17"/>
    <mergeCell ref="B15:B17"/>
    <mergeCell ref="C15:C17"/>
    <mergeCell ref="D15:D17"/>
    <mergeCell ref="E15:F17"/>
    <mergeCell ref="H7:H8"/>
    <mergeCell ref="A10:B10"/>
    <mergeCell ref="C10:E10"/>
    <mergeCell ref="C4:E4"/>
    <mergeCell ref="A1:B1"/>
    <mergeCell ref="C1:D1"/>
    <mergeCell ref="G1:H1"/>
    <mergeCell ref="C2:D3"/>
    <mergeCell ref="A3:B3"/>
  </mergeCells>
  <printOptions horizontalCentered="1"/>
  <pageMargins left="0.19685039370078741" right="0.19685039370078741" top="1.7716535433070868" bottom="0" header="0" footer="0"/>
  <pageSetup scale="82" orientation="portrait" verticalDpi="300" r:id="rId1"/>
  <headerFooter>
    <oddHeader>&amp;L&amp;9&amp;G&amp;C
&amp;G&amp;R
&amp;"-,Negrita"&amp;9RIF: J-40882759-0
PUERTO ORDAZ, ESTADO BOLÍVAR</oddHead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Word.Document.8" shapeId="24577" r:id="rId5">
          <objectPr defaultSize="0" r:id="rId6">
            <anchor moveWithCells="1">
              <from>
                <xdr:col>0</xdr:col>
                <xdr:colOff>123825</xdr:colOff>
                <xdr:row>37</xdr:row>
                <xdr:rowOff>0</xdr:rowOff>
              </from>
              <to>
                <xdr:col>7</xdr:col>
                <xdr:colOff>752475</xdr:colOff>
                <xdr:row>55</xdr:row>
                <xdr:rowOff>47625</xdr:rowOff>
              </to>
            </anchor>
          </objectPr>
        </oleObject>
      </mc:Choice>
      <mc:Fallback>
        <oleObject progId="Word.Document.8" shapeId="24577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99"/>
  </sheetPr>
  <dimension ref="A1:K43"/>
  <sheetViews>
    <sheetView view="pageBreakPreview" topLeftCell="A13" zoomScaleNormal="100" zoomScaleSheetLayoutView="100" workbookViewId="0">
      <selection activeCell="I12" sqref="I12"/>
    </sheetView>
  </sheetViews>
  <sheetFormatPr baseColWidth="10" defaultRowHeight="15" x14ac:dyDescent="0.25"/>
  <cols>
    <col min="1" max="1" width="4.7109375" style="5" customWidth="1"/>
    <col min="2" max="2" width="7.140625" style="5" customWidth="1"/>
    <col min="3" max="3" width="5" style="5" customWidth="1"/>
    <col min="4" max="4" width="43.5703125" style="5" customWidth="1"/>
    <col min="5" max="5" width="6.28515625" style="5" customWidth="1"/>
    <col min="6" max="6" width="5.85546875" style="5" customWidth="1"/>
    <col min="7" max="7" width="12.85546875" style="5" customWidth="1"/>
    <col min="8" max="8" width="13" style="5" customWidth="1"/>
    <col min="9" max="9" width="15.140625" customWidth="1"/>
  </cols>
  <sheetData>
    <row r="1" spans="1:9" ht="33" customHeight="1" x14ac:dyDescent="0.25">
      <c r="A1" s="104" t="s">
        <v>30</v>
      </c>
      <c r="B1" s="104"/>
      <c r="C1" s="105" t="s">
        <v>39</v>
      </c>
      <c r="D1" s="105"/>
      <c r="E1" s="2"/>
      <c r="F1" s="2"/>
      <c r="G1" s="106" t="s">
        <v>2</v>
      </c>
      <c r="H1" s="106"/>
    </row>
    <row r="2" spans="1:9" ht="12.95" customHeight="1" x14ac:dyDescent="0.25">
      <c r="C2" s="107"/>
      <c r="D2" s="107"/>
      <c r="E2" s="36"/>
      <c r="F2" s="2"/>
      <c r="G2" s="3" t="s">
        <v>0</v>
      </c>
      <c r="H2" s="3" t="s">
        <v>1</v>
      </c>
    </row>
    <row r="3" spans="1:9" ht="12.95" customHeight="1" x14ac:dyDescent="0.25">
      <c r="A3" s="104" t="s">
        <v>5</v>
      </c>
      <c r="B3" s="104"/>
      <c r="C3" s="108"/>
      <c r="D3" s="108"/>
      <c r="E3" s="37"/>
      <c r="F3" s="2"/>
      <c r="G3" s="11" t="s">
        <v>46</v>
      </c>
      <c r="H3" s="12">
        <v>45893</v>
      </c>
    </row>
    <row r="4" spans="1:9" ht="12.95" customHeight="1" x14ac:dyDescent="0.25">
      <c r="C4" s="103"/>
      <c r="D4" s="103"/>
      <c r="E4" s="103"/>
      <c r="F4" s="2"/>
      <c r="G4" s="3" t="s">
        <v>11</v>
      </c>
      <c r="H4" s="3" t="s">
        <v>12</v>
      </c>
    </row>
    <row r="5" spans="1:9" ht="12.95" customHeight="1" x14ac:dyDescent="0.25">
      <c r="A5" s="104" t="s">
        <v>4</v>
      </c>
      <c r="B5" s="104"/>
      <c r="C5" s="112" t="s">
        <v>38</v>
      </c>
      <c r="D5" s="112"/>
      <c r="E5" s="70"/>
      <c r="F5" s="2"/>
      <c r="G5" s="13" t="s">
        <v>33</v>
      </c>
      <c r="H5" s="10" t="s">
        <v>20</v>
      </c>
    </row>
    <row r="6" spans="1:9" ht="12.75" customHeight="1" x14ac:dyDescent="0.25">
      <c r="C6" s="36"/>
      <c r="D6" s="76"/>
      <c r="E6" s="36"/>
      <c r="F6" s="2"/>
      <c r="G6" s="7" t="s">
        <v>10</v>
      </c>
      <c r="H6" s="7" t="s">
        <v>13</v>
      </c>
    </row>
    <row r="7" spans="1:9" ht="12.75" customHeight="1" x14ac:dyDescent="0.25">
      <c r="A7" s="104" t="s">
        <v>6</v>
      </c>
      <c r="B7" s="104"/>
      <c r="C7" s="75"/>
      <c r="D7" s="76" t="s">
        <v>40</v>
      </c>
      <c r="E7" s="37"/>
      <c r="F7" s="2"/>
      <c r="G7" s="124" t="s">
        <v>31</v>
      </c>
      <c r="H7" s="118" t="s">
        <v>24</v>
      </c>
    </row>
    <row r="8" spans="1:9" ht="9" customHeight="1" x14ac:dyDescent="0.25">
      <c r="C8" s="69"/>
      <c r="D8" s="69"/>
      <c r="E8" s="38"/>
      <c r="F8" s="2"/>
      <c r="G8" s="125"/>
      <c r="H8" s="119"/>
    </row>
    <row r="9" spans="1:9" ht="12.95" customHeight="1" x14ac:dyDescent="0.25">
      <c r="C9" s="9"/>
      <c r="D9" s="9"/>
      <c r="E9" s="9"/>
      <c r="F9" s="2"/>
      <c r="G9" s="14"/>
      <c r="H9" s="14"/>
    </row>
    <row r="10" spans="1:9" ht="12.95" customHeight="1" x14ac:dyDescent="0.25">
      <c r="A10" s="104" t="s">
        <v>3</v>
      </c>
      <c r="B10" s="104"/>
      <c r="C10" s="120" t="s">
        <v>41</v>
      </c>
      <c r="D10" s="120"/>
      <c r="E10" s="120"/>
      <c r="F10" s="2"/>
      <c r="G10" s="15" t="s">
        <v>16</v>
      </c>
      <c r="H10" s="17" t="str">
        <f>+G3</f>
        <v>C.C. 25 -0002</v>
      </c>
    </row>
    <row r="11" spans="1:9" ht="12.95" customHeight="1" thickBot="1" x14ac:dyDescent="0.3">
      <c r="A11" s="4"/>
      <c r="B11" s="4"/>
      <c r="C11" s="121"/>
      <c r="D11" s="121"/>
      <c r="E11" s="121"/>
      <c r="F11" s="2"/>
      <c r="G11" s="2"/>
      <c r="H11" s="2"/>
      <c r="I11" s="1"/>
    </row>
    <row r="12" spans="1:9" ht="22.5" customHeight="1" thickBot="1" x14ac:dyDescent="0.3">
      <c r="A12" s="19" t="s">
        <v>8</v>
      </c>
      <c r="B12" s="19" t="s">
        <v>7</v>
      </c>
      <c r="C12" s="19" t="s">
        <v>17</v>
      </c>
      <c r="D12" s="19" t="s">
        <v>9</v>
      </c>
      <c r="E12" s="122" t="s">
        <v>18</v>
      </c>
      <c r="F12" s="123"/>
      <c r="G12" s="20" t="s">
        <v>21</v>
      </c>
      <c r="H12" s="20" t="s">
        <v>22</v>
      </c>
      <c r="I12" s="6"/>
    </row>
    <row r="13" spans="1:9" x14ac:dyDescent="0.25">
      <c r="A13" s="23"/>
      <c r="B13" s="74"/>
      <c r="C13" s="23"/>
      <c r="D13" s="59" t="s">
        <v>27</v>
      </c>
      <c r="E13" s="60"/>
      <c r="F13" s="61"/>
      <c r="G13" s="50"/>
      <c r="H13" s="26"/>
      <c r="I13" s="1"/>
    </row>
    <row r="14" spans="1:9" x14ac:dyDescent="0.25">
      <c r="A14" s="24"/>
      <c r="B14" s="40"/>
      <c r="C14" s="24"/>
      <c r="D14" s="62"/>
      <c r="E14" s="63"/>
      <c r="F14" s="64"/>
      <c r="G14" s="42"/>
      <c r="H14" s="27"/>
      <c r="I14" s="1"/>
    </row>
    <row r="15" spans="1:9" ht="15" customHeight="1" x14ac:dyDescent="0.25">
      <c r="A15" s="114">
        <v>1</v>
      </c>
      <c r="B15" s="114">
        <v>26</v>
      </c>
      <c r="C15" s="114" t="s">
        <v>23</v>
      </c>
      <c r="D15" s="115" t="s">
        <v>42</v>
      </c>
      <c r="E15" s="116">
        <v>210</v>
      </c>
      <c r="F15" s="117"/>
      <c r="G15" s="129">
        <v>200</v>
      </c>
      <c r="H15" s="109">
        <f>G15*B15</f>
        <v>5200</v>
      </c>
      <c r="I15" s="1"/>
    </row>
    <row r="16" spans="1:9" x14ac:dyDescent="0.25">
      <c r="A16" s="114"/>
      <c r="B16" s="114"/>
      <c r="C16" s="114"/>
      <c r="D16" s="115"/>
      <c r="E16" s="116"/>
      <c r="F16" s="117"/>
      <c r="G16" s="129"/>
      <c r="H16" s="109"/>
      <c r="I16" s="1"/>
    </row>
    <row r="17" spans="1:11" ht="22.5" customHeight="1" x14ac:dyDescent="0.25">
      <c r="A17" s="114"/>
      <c r="B17" s="114"/>
      <c r="C17" s="114"/>
      <c r="D17" s="115"/>
      <c r="E17" s="116"/>
      <c r="F17" s="117"/>
      <c r="G17" s="129"/>
      <c r="H17" s="109"/>
      <c r="I17" s="1"/>
    </row>
    <row r="18" spans="1:11" ht="12" customHeight="1" x14ac:dyDescent="0.25">
      <c r="A18" s="100">
        <v>2</v>
      </c>
      <c r="B18" s="100">
        <v>40</v>
      </c>
      <c r="C18" s="100" t="s">
        <v>43</v>
      </c>
      <c r="D18" s="101" t="s">
        <v>44</v>
      </c>
      <c r="E18" s="136"/>
      <c r="F18" s="137"/>
      <c r="G18" s="102">
        <v>15</v>
      </c>
      <c r="H18" s="96">
        <f>G18*B18</f>
        <v>600</v>
      </c>
      <c r="I18" s="1"/>
    </row>
    <row r="19" spans="1:11" x14ac:dyDescent="0.25">
      <c r="A19" s="24"/>
      <c r="B19" s="45"/>
      <c r="C19" s="24"/>
      <c r="E19" s="72"/>
      <c r="F19" s="73"/>
      <c r="G19" s="45"/>
      <c r="H19" s="87"/>
      <c r="I19" s="1"/>
    </row>
    <row r="20" spans="1:11" x14ac:dyDescent="0.25">
      <c r="A20" s="24">
        <v>3</v>
      </c>
      <c r="B20" s="45">
        <v>1</v>
      </c>
      <c r="C20" s="24" t="s">
        <v>43</v>
      </c>
      <c r="D20" s="85" t="s">
        <v>45</v>
      </c>
      <c r="E20" s="140">
        <v>1</v>
      </c>
      <c r="F20" s="141"/>
      <c r="G20" s="45">
        <v>800</v>
      </c>
      <c r="H20" s="87">
        <f t="shared" ref="H20" si="0">G20*B20</f>
        <v>800</v>
      </c>
      <c r="I20" s="1"/>
    </row>
    <row r="21" spans="1:11" ht="15" customHeight="1" x14ac:dyDescent="0.25">
      <c r="A21" s="93"/>
      <c r="B21" s="94"/>
      <c r="C21" s="93"/>
      <c r="D21" s="130" t="s">
        <v>42</v>
      </c>
      <c r="E21" s="95"/>
      <c r="F21" s="95"/>
      <c r="G21" s="93"/>
      <c r="H21" s="96"/>
      <c r="I21" s="1"/>
    </row>
    <row r="22" spans="1:11" ht="15" customHeight="1" x14ac:dyDescent="0.25">
      <c r="A22" s="93">
        <v>4</v>
      </c>
      <c r="B22" s="94">
        <v>14</v>
      </c>
      <c r="C22" s="93" t="s">
        <v>23</v>
      </c>
      <c r="D22" s="130"/>
      <c r="E22" s="132">
        <v>210</v>
      </c>
      <c r="F22" s="133"/>
      <c r="G22" s="134">
        <v>245</v>
      </c>
      <c r="H22" s="135">
        <f>G22*B22</f>
        <v>3430</v>
      </c>
      <c r="I22" s="1"/>
    </row>
    <row r="23" spans="1:11" x14ac:dyDescent="0.25">
      <c r="A23" s="93"/>
      <c r="B23" s="94"/>
      <c r="C23" s="93"/>
      <c r="D23" s="130"/>
      <c r="E23" s="132"/>
      <c r="F23" s="133"/>
      <c r="G23" s="134"/>
      <c r="H23" s="135"/>
      <c r="I23" s="1"/>
    </row>
    <row r="24" spans="1:11" x14ac:dyDescent="0.25">
      <c r="A24" s="97"/>
      <c r="B24" s="98"/>
      <c r="C24" s="97"/>
      <c r="D24" s="131"/>
      <c r="E24" s="138"/>
      <c r="F24" s="139"/>
      <c r="G24" s="98"/>
      <c r="H24" s="99"/>
      <c r="I24" s="1"/>
    </row>
    <row r="25" spans="1:11" x14ac:dyDescent="0.25">
      <c r="A25" s="33" t="s">
        <v>15</v>
      </c>
      <c r="B25" s="2"/>
      <c r="C25" s="2"/>
      <c r="D25" s="65"/>
      <c r="E25" s="2"/>
      <c r="F25" s="126" t="s">
        <v>25</v>
      </c>
      <c r="G25" s="126"/>
      <c r="H25" s="30">
        <f>SUM(H13:H24)</f>
        <v>10030</v>
      </c>
      <c r="I25" s="1"/>
    </row>
    <row r="26" spans="1:11" ht="11.25" customHeight="1" x14ac:dyDescent="0.25">
      <c r="A26" s="29"/>
      <c r="B26" s="34"/>
      <c r="C26" s="34"/>
      <c r="D26" s="2"/>
      <c r="E26" s="2"/>
      <c r="F26" s="126" t="s">
        <v>19</v>
      </c>
      <c r="G26" s="126"/>
      <c r="H26" s="31"/>
      <c r="I26" s="1"/>
      <c r="K26">
        <f>26+8</f>
        <v>34</v>
      </c>
    </row>
    <row r="27" spans="1:11" ht="12.75" customHeight="1" x14ac:dyDescent="0.25">
      <c r="A27" s="39"/>
      <c r="B27" s="34"/>
      <c r="C27" s="34"/>
      <c r="D27" s="2"/>
      <c r="E27" s="2"/>
      <c r="F27" s="126" t="s">
        <v>14</v>
      </c>
      <c r="G27" s="126"/>
      <c r="H27" s="31">
        <v>0</v>
      </c>
      <c r="I27" s="1"/>
    </row>
    <row r="28" spans="1:11" ht="12.75" customHeight="1" x14ac:dyDescent="0.25">
      <c r="A28" s="39"/>
      <c r="B28" s="34"/>
      <c r="C28" s="34"/>
      <c r="D28" s="2"/>
      <c r="E28" s="2"/>
      <c r="F28" s="126" t="s">
        <v>26</v>
      </c>
      <c r="G28" s="126"/>
      <c r="H28" s="32">
        <f>SUM(H25:H27)</f>
        <v>10030</v>
      </c>
      <c r="I28" s="1"/>
    </row>
    <row r="29" spans="1:11" ht="12.75" customHeight="1" x14ac:dyDescent="0.25">
      <c r="A29" s="39"/>
      <c r="B29" s="34"/>
      <c r="C29" s="34"/>
      <c r="D29" s="2"/>
      <c r="E29" s="2"/>
      <c r="F29" s="71"/>
      <c r="G29" s="71"/>
      <c r="H29" s="32"/>
      <c r="I29" s="1"/>
    </row>
    <row r="30" spans="1:11" ht="11.25" customHeight="1" x14ac:dyDescent="0.25">
      <c r="B30" s="8"/>
      <c r="C30" s="8"/>
      <c r="D30" s="15" t="s">
        <v>29</v>
      </c>
      <c r="E30" s="8"/>
      <c r="I30" s="1"/>
    </row>
    <row r="31" spans="1:11" x14ac:dyDescent="0.25">
      <c r="B31" s="8"/>
      <c r="C31" s="8"/>
      <c r="D31" s="8"/>
      <c r="E31" s="8"/>
      <c r="F31" s="71"/>
      <c r="G31" s="71"/>
      <c r="H31" s="32"/>
      <c r="I31" s="1"/>
    </row>
    <row r="32" spans="1:11" x14ac:dyDescent="0.25">
      <c r="B32" s="8"/>
      <c r="C32" s="8"/>
      <c r="D32" s="8"/>
      <c r="E32" s="8"/>
      <c r="F32" s="71"/>
      <c r="G32" s="71"/>
      <c r="H32" s="32"/>
      <c r="I32" s="1"/>
    </row>
    <row r="33" spans="1:9" ht="12.75" customHeight="1" x14ac:dyDescent="0.25">
      <c r="B33" s="16"/>
      <c r="C33" s="16"/>
      <c r="D33" s="16"/>
      <c r="E33" s="16"/>
      <c r="H33" s="18"/>
      <c r="I33" s="1"/>
    </row>
    <row r="34" spans="1:9" ht="11.25" customHeight="1" x14ac:dyDescent="0.25">
      <c r="B34" s="16"/>
      <c r="C34" s="16"/>
      <c r="D34" s="16"/>
      <c r="E34" s="16"/>
      <c r="F34" s="16"/>
      <c r="G34" s="16"/>
      <c r="H34" s="16"/>
      <c r="I34" s="1"/>
    </row>
    <row r="35" spans="1:9" ht="8.25" customHeight="1" x14ac:dyDescent="0.25">
      <c r="A35" s="16"/>
      <c r="B35" s="16"/>
      <c r="C35" s="16"/>
      <c r="D35" s="16"/>
      <c r="E35" s="16"/>
      <c r="F35" s="16"/>
      <c r="G35" s="16"/>
      <c r="H35" s="16"/>
      <c r="I35" s="1"/>
    </row>
    <row r="36" spans="1:9" ht="14.1" customHeight="1" x14ac:dyDescent="0.25">
      <c r="A36" s="16"/>
      <c r="B36" s="16"/>
      <c r="C36" s="16"/>
      <c r="D36" s="16"/>
      <c r="E36" s="16"/>
      <c r="F36" s="16"/>
      <c r="G36" s="16"/>
      <c r="H36" s="16"/>
      <c r="I36" s="1"/>
    </row>
    <row r="37" spans="1:9" ht="14.1" customHeight="1" x14ac:dyDescent="0.25">
      <c r="F37" s="16"/>
      <c r="G37" s="16"/>
      <c r="H37" s="16"/>
      <c r="I37" s="1"/>
    </row>
    <row r="38" spans="1:9" ht="14.1" customHeight="1" x14ac:dyDescent="0.25">
      <c r="A38" s="2"/>
      <c r="B38" s="2"/>
      <c r="C38" s="2"/>
      <c r="D38" s="2"/>
      <c r="E38" s="2"/>
      <c r="I38" s="1"/>
    </row>
    <row r="39" spans="1:9" ht="14.1" customHeight="1" x14ac:dyDescent="0.25">
      <c r="A39" s="2"/>
      <c r="B39" s="2"/>
      <c r="C39" s="2"/>
      <c r="D39" s="2"/>
      <c r="E39" s="2"/>
      <c r="F39" s="2"/>
      <c r="G39" s="2"/>
      <c r="H39" s="2"/>
      <c r="I39" s="1"/>
    </row>
    <row r="40" spans="1:9" ht="14.1" customHeight="1" x14ac:dyDescent="0.25">
      <c r="A40" s="2"/>
      <c r="B40" s="2"/>
      <c r="C40" s="2"/>
      <c r="D40" s="2"/>
      <c r="E40" s="2"/>
      <c r="F40" s="2"/>
      <c r="G40" s="2"/>
      <c r="H40" s="2"/>
      <c r="I40" s="1"/>
    </row>
    <row r="41" spans="1:9" ht="14.1" customHeight="1" x14ac:dyDescent="0.25">
      <c r="A41" s="2"/>
      <c r="B41" s="2"/>
      <c r="C41" s="2"/>
      <c r="D41" s="2"/>
      <c r="E41" s="2"/>
      <c r="F41" s="2"/>
      <c r="G41" s="2"/>
      <c r="H41" s="2"/>
      <c r="I41" s="1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1"/>
    </row>
    <row r="43" spans="1:9" x14ac:dyDescent="0.25">
      <c r="F43" s="2"/>
      <c r="G43" s="2"/>
      <c r="H43" s="2"/>
      <c r="I43" s="1"/>
    </row>
  </sheetData>
  <mergeCells count="33">
    <mergeCell ref="F26:G26"/>
    <mergeCell ref="F27:G27"/>
    <mergeCell ref="F28:G28"/>
    <mergeCell ref="G15:G17"/>
    <mergeCell ref="H15:H17"/>
    <mergeCell ref="E18:F18"/>
    <mergeCell ref="E24:F24"/>
    <mergeCell ref="F25:G25"/>
    <mergeCell ref="E20:F20"/>
    <mergeCell ref="A15:A17"/>
    <mergeCell ref="B15:B17"/>
    <mergeCell ref="C15:C17"/>
    <mergeCell ref="D15:D17"/>
    <mergeCell ref="E15:F17"/>
    <mergeCell ref="A5:B5"/>
    <mergeCell ref="C5:D5"/>
    <mergeCell ref="A7:B7"/>
    <mergeCell ref="H7:H8"/>
    <mergeCell ref="A10:B10"/>
    <mergeCell ref="C10:E10"/>
    <mergeCell ref="G7:G8"/>
    <mergeCell ref="A1:B1"/>
    <mergeCell ref="C1:D1"/>
    <mergeCell ref="G1:H1"/>
    <mergeCell ref="C2:D3"/>
    <mergeCell ref="A3:B3"/>
    <mergeCell ref="D21:D24"/>
    <mergeCell ref="E22:F23"/>
    <mergeCell ref="G22:G23"/>
    <mergeCell ref="H22:H23"/>
    <mergeCell ref="C4:E4"/>
    <mergeCell ref="C11:E11"/>
    <mergeCell ref="E12:F12"/>
  </mergeCells>
  <printOptions horizontalCentered="1"/>
  <pageMargins left="0.19685039370078741" right="0.19685039370078741" top="1.7716535433070868" bottom="0" header="0" footer="0"/>
  <pageSetup scale="82" orientation="portrait" verticalDpi="300" r:id="rId1"/>
  <headerFooter>
    <oddHeader>&amp;L&amp;9&amp;G&amp;C
&amp;G&amp;R
&amp;"-,Negrita"&amp;9RIF: J-40882759-0
PUERTO ORDAZ, ESTADO BOLÍVAR</oddHead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Word.Document.8" shapeId="25601" r:id="rId5">
          <objectPr defaultSize="0" r:id="rId6">
            <anchor moveWithCells="1">
              <from>
                <xdr:col>0</xdr:col>
                <xdr:colOff>152400</xdr:colOff>
                <xdr:row>29</xdr:row>
                <xdr:rowOff>133350</xdr:rowOff>
              </from>
              <to>
                <xdr:col>7</xdr:col>
                <xdr:colOff>781050</xdr:colOff>
                <xdr:row>48</xdr:row>
                <xdr:rowOff>0</xdr:rowOff>
              </to>
            </anchor>
          </objectPr>
        </oleObject>
      </mc:Choice>
      <mc:Fallback>
        <oleObject progId="Word.Document.8" shapeId="25601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99"/>
  </sheetPr>
  <dimension ref="A1:I40"/>
  <sheetViews>
    <sheetView view="pageBreakPreview" zoomScaleNormal="100" zoomScaleSheetLayoutView="100" workbookViewId="0">
      <selection activeCell="D19" sqref="D19"/>
    </sheetView>
  </sheetViews>
  <sheetFormatPr baseColWidth="10" defaultRowHeight="15" x14ac:dyDescent="0.25"/>
  <cols>
    <col min="1" max="1" width="4.7109375" style="86" customWidth="1"/>
    <col min="2" max="2" width="7.140625" style="86" customWidth="1"/>
    <col min="3" max="3" width="5" style="86" customWidth="1"/>
    <col min="4" max="4" width="43.5703125" style="86" customWidth="1"/>
    <col min="5" max="5" width="6.28515625" style="86" customWidth="1"/>
    <col min="6" max="6" width="5.85546875" style="86" customWidth="1"/>
    <col min="7" max="7" width="12.85546875" style="86" customWidth="1"/>
    <col min="8" max="8" width="13" style="86" customWidth="1"/>
    <col min="9" max="9" width="15.140625" customWidth="1"/>
  </cols>
  <sheetData>
    <row r="1" spans="1:9" ht="33" customHeight="1" x14ac:dyDescent="0.25">
      <c r="A1" s="104" t="s">
        <v>30</v>
      </c>
      <c r="B1" s="104"/>
      <c r="C1" s="105" t="s">
        <v>47</v>
      </c>
      <c r="D1" s="105"/>
      <c r="E1" s="2"/>
      <c r="F1" s="2"/>
      <c r="G1" s="106" t="s">
        <v>2</v>
      </c>
      <c r="H1" s="106"/>
    </row>
    <row r="2" spans="1:9" ht="12.95" customHeight="1" x14ac:dyDescent="0.25">
      <c r="C2" s="107"/>
      <c r="D2" s="107"/>
      <c r="E2" s="36"/>
      <c r="F2" s="2"/>
      <c r="G2" s="3" t="s">
        <v>0</v>
      </c>
      <c r="H2" s="3" t="s">
        <v>1</v>
      </c>
    </row>
    <row r="3" spans="1:9" ht="12.95" customHeight="1" x14ac:dyDescent="0.25">
      <c r="A3" s="104" t="s">
        <v>5</v>
      </c>
      <c r="B3" s="104"/>
      <c r="C3" s="108"/>
      <c r="D3" s="108"/>
      <c r="E3" s="37"/>
      <c r="F3" s="2"/>
      <c r="G3" s="11" t="s">
        <v>48</v>
      </c>
      <c r="H3" s="12">
        <v>45838</v>
      </c>
    </row>
    <row r="4" spans="1:9" ht="12.95" customHeight="1" x14ac:dyDescent="0.25">
      <c r="C4" s="103"/>
      <c r="D4" s="103"/>
      <c r="E4" s="103"/>
      <c r="F4" s="2"/>
      <c r="G4" s="3" t="s">
        <v>11</v>
      </c>
      <c r="H4" s="3" t="s">
        <v>12</v>
      </c>
    </row>
    <row r="5" spans="1:9" ht="12.95" customHeight="1" x14ac:dyDescent="0.25">
      <c r="A5" s="104" t="s">
        <v>4</v>
      </c>
      <c r="B5" s="104"/>
      <c r="C5" s="112"/>
      <c r="D5" s="112"/>
      <c r="E5" s="77"/>
      <c r="F5" s="2"/>
      <c r="G5" s="13" t="s">
        <v>33</v>
      </c>
      <c r="H5" s="10" t="s">
        <v>20</v>
      </c>
    </row>
    <row r="6" spans="1:9" ht="12.75" customHeight="1" x14ac:dyDescent="0.25">
      <c r="C6" s="36"/>
      <c r="D6" s="76"/>
      <c r="E6" s="36"/>
      <c r="F6" s="2"/>
      <c r="G6" s="7" t="s">
        <v>10</v>
      </c>
      <c r="H6" s="7" t="s">
        <v>13</v>
      </c>
    </row>
    <row r="7" spans="1:9" ht="12.75" customHeight="1" x14ac:dyDescent="0.25">
      <c r="A7" s="104" t="s">
        <v>6</v>
      </c>
      <c r="B7" s="104"/>
      <c r="C7" s="75"/>
      <c r="D7" s="76" t="s">
        <v>40</v>
      </c>
      <c r="E7" s="37"/>
      <c r="F7" s="2"/>
      <c r="G7" s="124" t="s">
        <v>31</v>
      </c>
      <c r="H7" s="118" t="s">
        <v>24</v>
      </c>
    </row>
    <row r="8" spans="1:9" ht="9" customHeight="1" x14ac:dyDescent="0.25">
      <c r="C8" s="69"/>
      <c r="D8" s="69"/>
      <c r="E8" s="38"/>
      <c r="F8" s="2"/>
      <c r="G8" s="125"/>
      <c r="H8" s="119"/>
    </row>
    <row r="9" spans="1:9" ht="12.95" customHeight="1" x14ac:dyDescent="0.25">
      <c r="C9" s="9"/>
      <c r="D9" s="9"/>
      <c r="E9" s="9"/>
      <c r="F9" s="2"/>
      <c r="G9" s="14"/>
      <c r="H9" s="14"/>
    </row>
    <row r="10" spans="1:9" ht="12.95" customHeight="1" x14ac:dyDescent="0.25">
      <c r="A10" s="104" t="s">
        <v>3</v>
      </c>
      <c r="B10" s="104"/>
      <c r="C10" s="120" t="s">
        <v>41</v>
      </c>
      <c r="D10" s="120"/>
      <c r="E10" s="120"/>
      <c r="F10" s="2"/>
      <c r="G10" s="15" t="s">
        <v>16</v>
      </c>
      <c r="H10" s="17" t="str">
        <f>+G3</f>
        <v>C.C. 25 -0003</v>
      </c>
    </row>
    <row r="11" spans="1:9" ht="12.95" customHeight="1" thickBot="1" x14ac:dyDescent="0.3">
      <c r="A11" s="4"/>
      <c r="B11" s="4"/>
      <c r="C11" s="121"/>
      <c r="D11" s="121"/>
      <c r="E11" s="121"/>
      <c r="F11" s="2"/>
      <c r="G11" s="2"/>
      <c r="H11" s="2"/>
      <c r="I11" s="1"/>
    </row>
    <row r="12" spans="1:9" ht="22.5" customHeight="1" thickBot="1" x14ac:dyDescent="0.3">
      <c r="A12" s="19" t="s">
        <v>8</v>
      </c>
      <c r="B12" s="19" t="s">
        <v>7</v>
      </c>
      <c r="C12" s="19" t="s">
        <v>17</v>
      </c>
      <c r="D12" s="19" t="s">
        <v>9</v>
      </c>
      <c r="E12" s="122" t="s">
        <v>18</v>
      </c>
      <c r="F12" s="123"/>
      <c r="G12" s="20" t="s">
        <v>21</v>
      </c>
      <c r="H12" s="20" t="s">
        <v>22</v>
      </c>
      <c r="I12" s="6"/>
    </row>
    <row r="13" spans="1:9" x14ac:dyDescent="0.25">
      <c r="A13" s="23"/>
      <c r="B13" s="83"/>
      <c r="C13" s="23"/>
      <c r="D13" s="59" t="s">
        <v>27</v>
      </c>
      <c r="E13" s="60"/>
      <c r="F13" s="61"/>
      <c r="G13" s="50"/>
      <c r="H13" s="26"/>
      <c r="I13" s="1"/>
    </row>
    <row r="14" spans="1:9" x14ac:dyDescent="0.25">
      <c r="A14" s="24"/>
      <c r="B14" s="40"/>
      <c r="C14" s="24"/>
      <c r="D14" s="62"/>
      <c r="E14" s="63"/>
      <c r="F14" s="64"/>
      <c r="G14" s="42"/>
      <c r="H14" s="27"/>
      <c r="I14" s="1"/>
    </row>
    <row r="15" spans="1:9" ht="15" customHeight="1" x14ac:dyDescent="0.25">
      <c r="A15" s="114">
        <v>1</v>
      </c>
      <c r="B15" s="114">
        <v>12</v>
      </c>
      <c r="C15" s="114" t="s">
        <v>23</v>
      </c>
      <c r="D15" s="115" t="s">
        <v>42</v>
      </c>
      <c r="E15" s="116">
        <v>210</v>
      </c>
      <c r="F15" s="117"/>
      <c r="G15" s="129">
        <v>200</v>
      </c>
      <c r="H15" s="109">
        <f>G15*B15</f>
        <v>2400</v>
      </c>
      <c r="I15" s="1"/>
    </row>
    <row r="16" spans="1:9" x14ac:dyDescent="0.25">
      <c r="A16" s="114"/>
      <c r="B16" s="114"/>
      <c r="C16" s="114"/>
      <c r="D16" s="115"/>
      <c r="E16" s="116"/>
      <c r="F16" s="117"/>
      <c r="G16" s="129"/>
      <c r="H16" s="109"/>
      <c r="I16" s="1"/>
    </row>
    <row r="17" spans="1:9" ht="22.5" customHeight="1" x14ac:dyDescent="0.25">
      <c r="A17" s="114"/>
      <c r="B17" s="114"/>
      <c r="C17" s="114"/>
      <c r="D17" s="115"/>
      <c r="E17" s="116"/>
      <c r="F17" s="117"/>
      <c r="G17" s="129"/>
      <c r="H17" s="109"/>
      <c r="I17" s="1"/>
    </row>
    <row r="18" spans="1:9" ht="12" customHeight="1" x14ac:dyDescent="0.25">
      <c r="A18" s="82"/>
      <c r="B18" s="82"/>
      <c r="C18" s="82"/>
      <c r="D18" s="65"/>
      <c r="E18" s="110"/>
      <c r="F18" s="111"/>
      <c r="G18" s="81"/>
      <c r="H18" s="87"/>
      <c r="I18" s="1"/>
    </row>
    <row r="19" spans="1:9" x14ac:dyDescent="0.25">
      <c r="A19" s="24"/>
      <c r="B19" s="45"/>
      <c r="C19" s="24"/>
      <c r="E19" s="79"/>
      <c r="F19" s="80"/>
      <c r="G19" s="45"/>
      <c r="H19" s="87"/>
      <c r="I19" s="1"/>
    </row>
    <row r="20" spans="1:9" x14ac:dyDescent="0.25">
      <c r="A20" s="24"/>
      <c r="B20" s="45"/>
      <c r="C20" s="24"/>
      <c r="D20" s="85"/>
      <c r="E20" s="142"/>
      <c r="F20" s="142"/>
      <c r="G20" s="45"/>
      <c r="H20" s="87"/>
      <c r="I20" s="1"/>
    </row>
    <row r="21" spans="1:9" x14ac:dyDescent="0.25">
      <c r="A21" s="25"/>
      <c r="B21" s="84"/>
      <c r="C21" s="25"/>
      <c r="D21" s="35"/>
      <c r="E21" s="127"/>
      <c r="F21" s="128"/>
      <c r="G21" s="84"/>
      <c r="H21" s="88"/>
      <c r="I21" s="1"/>
    </row>
    <row r="22" spans="1:9" x14ac:dyDescent="0.25">
      <c r="A22" s="33" t="s">
        <v>15</v>
      </c>
      <c r="B22" s="2"/>
      <c r="C22" s="2"/>
      <c r="D22" s="2"/>
      <c r="E22" s="2"/>
      <c r="F22" s="126" t="s">
        <v>25</v>
      </c>
      <c r="G22" s="126"/>
      <c r="H22" s="30">
        <f>SUM(H13:H21)</f>
        <v>2400</v>
      </c>
      <c r="I22" s="1"/>
    </row>
    <row r="23" spans="1:9" ht="11.25" customHeight="1" x14ac:dyDescent="0.25">
      <c r="A23" s="29"/>
      <c r="B23" s="34"/>
      <c r="C23" s="34"/>
      <c r="D23" s="2"/>
      <c r="E23" s="2"/>
      <c r="F23" s="126" t="s">
        <v>19</v>
      </c>
      <c r="G23" s="126"/>
      <c r="H23" s="31"/>
      <c r="I23" s="1"/>
    </row>
    <row r="24" spans="1:9" ht="12.75" customHeight="1" x14ac:dyDescent="0.25">
      <c r="A24" s="39"/>
      <c r="B24" s="34"/>
      <c r="C24" s="34"/>
      <c r="D24" s="2"/>
      <c r="E24" s="2"/>
      <c r="F24" s="126" t="s">
        <v>14</v>
      </c>
      <c r="G24" s="126"/>
      <c r="H24" s="31">
        <v>0</v>
      </c>
      <c r="I24" s="1"/>
    </row>
    <row r="25" spans="1:9" ht="12.75" customHeight="1" x14ac:dyDescent="0.25">
      <c r="A25" s="39"/>
      <c r="B25" s="34"/>
      <c r="C25" s="34"/>
      <c r="D25" s="2"/>
      <c r="E25" s="2"/>
      <c r="F25" s="126" t="s">
        <v>26</v>
      </c>
      <c r="G25" s="126"/>
      <c r="H25" s="32">
        <f>SUM(H22:H24)</f>
        <v>2400</v>
      </c>
      <c r="I25" s="1"/>
    </row>
    <row r="26" spans="1:9" ht="12.75" customHeight="1" x14ac:dyDescent="0.25">
      <c r="A26" s="39"/>
      <c r="B26" s="34"/>
      <c r="C26" s="34"/>
      <c r="D26" s="2"/>
      <c r="E26" s="2"/>
      <c r="F26" s="78"/>
      <c r="G26" s="78"/>
      <c r="H26" s="32"/>
      <c r="I26" s="1"/>
    </row>
    <row r="27" spans="1:9" ht="11.25" customHeight="1" x14ac:dyDescent="0.25">
      <c r="B27" s="8"/>
      <c r="C27" s="8"/>
      <c r="D27" s="15" t="s">
        <v>29</v>
      </c>
      <c r="E27" s="8"/>
      <c r="I27" s="1"/>
    </row>
    <row r="28" spans="1:9" x14ac:dyDescent="0.25">
      <c r="B28" s="8"/>
      <c r="C28" s="8"/>
      <c r="D28" s="8"/>
      <c r="E28" s="8"/>
      <c r="F28" s="78"/>
      <c r="G28" s="78"/>
      <c r="H28" s="32"/>
      <c r="I28" s="1"/>
    </row>
    <row r="29" spans="1:9" x14ac:dyDescent="0.25">
      <c r="B29" s="8"/>
      <c r="C29" s="8"/>
      <c r="D29" s="8"/>
      <c r="E29" s="8"/>
      <c r="F29" s="78"/>
      <c r="G29" s="78"/>
      <c r="H29" s="32"/>
      <c r="I29" s="1"/>
    </row>
    <row r="30" spans="1:9" ht="12.75" customHeight="1" x14ac:dyDescent="0.25">
      <c r="B30" s="16"/>
      <c r="C30" s="16"/>
      <c r="D30" s="16"/>
      <c r="E30" s="16"/>
      <c r="H30" s="18"/>
      <c r="I30" s="1"/>
    </row>
    <row r="31" spans="1:9" ht="11.25" customHeight="1" x14ac:dyDescent="0.25">
      <c r="B31" s="16"/>
      <c r="C31" s="16"/>
      <c r="D31" s="16"/>
      <c r="E31" s="16"/>
      <c r="F31" s="16"/>
      <c r="G31" s="16"/>
      <c r="H31" s="16"/>
      <c r="I31" s="1"/>
    </row>
    <row r="32" spans="1:9" ht="8.25" customHeight="1" x14ac:dyDescent="0.25">
      <c r="A32" s="16"/>
      <c r="B32" s="16"/>
      <c r="C32" s="16"/>
      <c r="D32" s="16"/>
      <c r="E32" s="16"/>
      <c r="F32" s="16"/>
      <c r="G32" s="16"/>
      <c r="H32" s="16"/>
      <c r="I32" s="1"/>
    </row>
    <row r="33" spans="1:9" ht="14.1" customHeight="1" x14ac:dyDescent="0.25">
      <c r="A33" s="16"/>
      <c r="B33" s="16"/>
      <c r="C33" s="16"/>
      <c r="D33" s="16"/>
      <c r="E33" s="16"/>
      <c r="F33" s="16"/>
      <c r="G33" s="16"/>
      <c r="H33" s="16"/>
      <c r="I33" s="1"/>
    </row>
    <row r="34" spans="1:9" ht="14.1" customHeight="1" x14ac:dyDescent="0.25">
      <c r="F34" s="16"/>
      <c r="G34" s="16"/>
      <c r="H34" s="16"/>
      <c r="I34" s="1"/>
    </row>
    <row r="35" spans="1:9" ht="14.1" customHeight="1" x14ac:dyDescent="0.25">
      <c r="A35" s="2"/>
      <c r="B35" s="2"/>
      <c r="C35" s="2"/>
      <c r="D35" s="2"/>
      <c r="E35" s="2"/>
      <c r="I35" s="1"/>
    </row>
    <row r="36" spans="1:9" ht="14.1" customHeight="1" x14ac:dyDescent="0.25">
      <c r="A36" s="2"/>
      <c r="B36" s="2"/>
      <c r="C36" s="2"/>
      <c r="D36" s="2"/>
      <c r="E36" s="2"/>
      <c r="F36" s="2"/>
      <c r="G36" s="2"/>
      <c r="H36" s="2"/>
      <c r="I36" s="1"/>
    </row>
    <row r="37" spans="1:9" ht="14.1" customHeight="1" x14ac:dyDescent="0.25">
      <c r="A37" s="2"/>
      <c r="B37" s="2"/>
      <c r="C37" s="2"/>
      <c r="D37" s="2"/>
      <c r="E37" s="2"/>
      <c r="F37" s="2"/>
      <c r="G37" s="2"/>
      <c r="H37" s="2"/>
      <c r="I37" s="1"/>
    </row>
    <row r="38" spans="1:9" ht="14.1" customHeight="1" x14ac:dyDescent="0.25">
      <c r="A38" s="2"/>
      <c r="B38" s="2"/>
      <c r="C38" s="2"/>
      <c r="D38" s="2"/>
      <c r="E38" s="2"/>
      <c r="F38" s="2"/>
      <c r="G38" s="2"/>
      <c r="H38" s="2"/>
      <c r="I38" s="1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1"/>
    </row>
    <row r="40" spans="1:9" x14ac:dyDescent="0.25">
      <c r="F40" s="2"/>
      <c r="G40" s="2"/>
      <c r="H40" s="2"/>
      <c r="I40" s="1"/>
    </row>
  </sheetData>
  <mergeCells count="29">
    <mergeCell ref="F23:G23"/>
    <mergeCell ref="F24:G24"/>
    <mergeCell ref="F25:G25"/>
    <mergeCell ref="G15:G17"/>
    <mergeCell ref="H15:H17"/>
    <mergeCell ref="E18:F18"/>
    <mergeCell ref="E20:F20"/>
    <mergeCell ref="E21:F21"/>
    <mergeCell ref="F22:G22"/>
    <mergeCell ref="C11:E11"/>
    <mergeCell ref="E12:F12"/>
    <mergeCell ref="A15:A17"/>
    <mergeCell ref="B15:B17"/>
    <mergeCell ref="C15:C17"/>
    <mergeCell ref="D15:D17"/>
    <mergeCell ref="E15:F17"/>
    <mergeCell ref="A10:B10"/>
    <mergeCell ref="C10:E10"/>
    <mergeCell ref="A1:B1"/>
    <mergeCell ref="C1:D1"/>
    <mergeCell ref="G1:H1"/>
    <mergeCell ref="C2:D3"/>
    <mergeCell ref="A3:B3"/>
    <mergeCell ref="C4:E4"/>
    <mergeCell ref="A5:B5"/>
    <mergeCell ref="C5:D5"/>
    <mergeCell ref="A7:B7"/>
    <mergeCell ref="G7:G8"/>
    <mergeCell ref="H7:H8"/>
  </mergeCells>
  <printOptions horizontalCentered="1"/>
  <pageMargins left="0.19685039370078741" right="0.19685039370078741" top="1.7716535433070868" bottom="0" header="0" footer="0"/>
  <pageSetup scale="82" orientation="portrait" verticalDpi="300" r:id="rId1"/>
  <headerFooter>
    <oddHeader>&amp;L&amp;9&amp;G&amp;C
&amp;G&amp;R
&amp;"-,Negrita"&amp;9RIF: J-40882759-0
PUERTO ORDAZ, ESTADO BOLÍVAR</oddHead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Word.Document.8" shapeId="26625" r:id="rId5">
          <objectPr defaultSize="0" r:id="rId6">
            <anchor moveWithCells="1">
              <from>
                <xdr:col>0</xdr:col>
                <xdr:colOff>152400</xdr:colOff>
                <xdr:row>26</xdr:row>
                <xdr:rowOff>133350</xdr:rowOff>
              </from>
              <to>
                <xdr:col>7</xdr:col>
                <xdr:colOff>781050</xdr:colOff>
                <xdr:row>45</xdr:row>
                <xdr:rowOff>9525</xdr:rowOff>
              </to>
            </anchor>
          </objectPr>
        </oleObject>
      </mc:Choice>
      <mc:Fallback>
        <oleObject progId="Word.Document.8" shapeId="26625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FF99"/>
  </sheetPr>
  <dimension ref="A1:K38"/>
  <sheetViews>
    <sheetView tabSelected="1" view="pageBreakPreview" zoomScale="55" zoomScaleNormal="100" zoomScaleSheetLayoutView="55" workbookViewId="0">
      <selection activeCell="I44" sqref="I44"/>
    </sheetView>
  </sheetViews>
  <sheetFormatPr baseColWidth="10" defaultRowHeight="15" x14ac:dyDescent="0.25"/>
  <cols>
    <col min="1" max="1" width="4.7109375" style="90" customWidth="1"/>
    <col min="2" max="2" width="7.140625" style="90" customWidth="1"/>
    <col min="3" max="3" width="5" style="90" customWidth="1"/>
    <col min="4" max="4" width="43.5703125" style="90" customWidth="1"/>
    <col min="5" max="5" width="6.28515625" style="90" customWidth="1"/>
    <col min="6" max="6" width="5.85546875" style="90" customWidth="1"/>
    <col min="7" max="7" width="12.85546875" style="90" customWidth="1"/>
    <col min="8" max="8" width="13" style="90" customWidth="1"/>
    <col min="9" max="9" width="15.140625" customWidth="1"/>
  </cols>
  <sheetData>
    <row r="1" spans="1:11" ht="33" customHeight="1" x14ac:dyDescent="0.25">
      <c r="A1" s="104" t="s">
        <v>30</v>
      </c>
      <c r="B1" s="104"/>
      <c r="C1" s="105" t="s">
        <v>49</v>
      </c>
      <c r="D1" s="105"/>
      <c r="E1" s="2"/>
      <c r="F1" s="2"/>
      <c r="G1" s="106" t="s">
        <v>2</v>
      </c>
      <c r="H1" s="106"/>
    </row>
    <row r="2" spans="1:11" ht="12.95" customHeight="1" x14ac:dyDescent="0.25">
      <c r="C2" s="107"/>
      <c r="D2" s="107"/>
      <c r="E2" s="36"/>
      <c r="F2" s="2"/>
      <c r="G2" s="3" t="s">
        <v>0</v>
      </c>
      <c r="H2" s="3" t="s">
        <v>1</v>
      </c>
    </row>
    <row r="3" spans="1:11" ht="12.95" customHeight="1" x14ac:dyDescent="0.25">
      <c r="A3" s="104" t="s">
        <v>5</v>
      </c>
      <c r="B3" s="104"/>
      <c r="C3" s="108"/>
      <c r="D3" s="108"/>
      <c r="E3" s="37"/>
      <c r="F3" s="2"/>
      <c r="G3" s="11" t="s">
        <v>50</v>
      </c>
      <c r="H3" s="12">
        <v>45817</v>
      </c>
    </row>
    <row r="4" spans="1:11" ht="12.95" customHeight="1" x14ac:dyDescent="0.25">
      <c r="C4" s="103"/>
      <c r="D4" s="103"/>
      <c r="E4" s="103"/>
      <c r="F4" s="2"/>
      <c r="G4" s="3" t="s">
        <v>11</v>
      </c>
      <c r="H4" s="3" t="s">
        <v>12</v>
      </c>
    </row>
    <row r="5" spans="1:11" ht="12.95" customHeight="1" x14ac:dyDescent="0.25">
      <c r="A5" s="104" t="s">
        <v>4</v>
      </c>
      <c r="B5" s="104"/>
      <c r="C5" s="112"/>
      <c r="D5" s="112"/>
      <c r="E5" s="89"/>
      <c r="F5" s="2"/>
      <c r="G5" s="13" t="s">
        <v>33</v>
      </c>
      <c r="H5" s="10" t="s">
        <v>20</v>
      </c>
    </row>
    <row r="6" spans="1:11" ht="12.75" customHeight="1" x14ac:dyDescent="0.25">
      <c r="C6" s="113"/>
      <c r="D6" s="113"/>
      <c r="E6" s="113"/>
      <c r="F6" s="2"/>
      <c r="G6" s="7" t="s">
        <v>10</v>
      </c>
      <c r="H6" s="7" t="s">
        <v>13</v>
      </c>
    </row>
    <row r="7" spans="1:11" ht="12.75" customHeight="1" x14ac:dyDescent="0.25">
      <c r="A7" s="104" t="s">
        <v>6</v>
      </c>
      <c r="B7" s="104"/>
      <c r="C7" s="112" t="s">
        <v>51</v>
      </c>
      <c r="D7" s="112"/>
      <c r="E7" s="37"/>
      <c r="F7" s="2"/>
      <c r="G7" s="124" t="s">
        <v>31</v>
      </c>
      <c r="H7" s="118" t="s">
        <v>24</v>
      </c>
      <c r="I7" s="144" t="s">
        <v>15</v>
      </c>
      <c r="J7" s="144"/>
      <c r="K7" s="144"/>
    </row>
    <row r="8" spans="1:11" ht="9" customHeight="1" x14ac:dyDescent="0.25">
      <c r="C8" s="69"/>
      <c r="D8" s="69"/>
      <c r="E8" s="38"/>
      <c r="F8" s="2"/>
      <c r="G8" s="125"/>
      <c r="H8" s="119"/>
      <c r="I8" s="146" t="s">
        <v>53</v>
      </c>
      <c r="J8" s="146"/>
      <c r="K8" s="146"/>
    </row>
    <row r="9" spans="1:11" ht="12.95" customHeight="1" x14ac:dyDescent="0.25">
      <c r="C9" s="9"/>
      <c r="D9" s="9"/>
      <c r="E9" s="9"/>
      <c r="F9" s="2"/>
      <c r="G9" s="14"/>
      <c r="H9" s="14"/>
      <c r="I9" s="143"/>
    </row>
    <row r="10" spans="1:11" ht="12.95" customHeight="1" x14ac:dyDescent="0.25">
      <c r="A10" s="104" t="s">
        <v>3</v>
      </c>
      <c r="B10" s="104"/>
      <c r="C10" s="120" t="s">
        <v>52</v>
      </c>
      <c r="D10" s="120"/>
      <c r="E10" s="120"/>
      <c r="F10" s="2"/>
      <c r="G10" s="15" t="s">
        <v>16</v>
      </c>
      <c r="H10" s="17" t="str">
        <f>+G3</f>
        <v>C.C. 25 -0004</v>
      </c>
      <c r="I10" s="144" t="s">
        <v>29</v>
      </c>
      <c r="J10" s="144"/>
      <c r="K10" s="144"/>
    </row>
    <row r="11" spans="1:11" ht="12.95" customHeight="1" x14ac:dyDescent="0.25">
      <c r="A11" s="4"/>
      <c r="B11" s="4"/>
      <c r="C11" s="121"/>
      <c r="D11" s="121"/>
      <c r="E11" s="121"/>
      <c r="F11" s="2"/>
      <c r="G11" s="2"/>
      <c r="H11" s="2"/>
    </row>
    <row r="12" spans="1:11" ht="22.5" customHeight="1" x14ac:dyDescent="0.25">
      <c r="A12" s="167" t="s">
        <v>8</v>
      </c>
      <c r="B12" s="167" t="s">
        <v>7</v>
      </c>
      <c r="C12" s="167" t="s">
        <v>17</v>
      </c>
      <c r="D12" s="167" t="s">
        <v>9</v>
      </c>
      <c r="E12" s="168" t="s">
        <v>18</v>
      </c>
      <c r="F12" s="169" t="s">
        <v>21</v>
      </c>
      <c r="G12" s="169" t="s">
        <v>22</v>
      </c>
    </row>
    <row r="13" spans="1:11" x14ac:dyDescent="0.25">
      <c r="A13" s="151"/>
      <c r="B13" s="151"/>
      <c r="C13" s="151"/>
      <c r="D13" s="170" t="s">
        <v>27</v>
      </c>
      <c r="E13" s="171"/>
      <c r="F13" s="171"/>
      <c r="G13" s="152"/>
      <c r="H13" s="159"/>
    </row>
    <row r="14" spans="1:11" ht="13.5" customHeight="1" x14ac:dyDescent="0.25">
      <c r="A14" s="149"/>
      <c r="B14" s="149"/>
      <c r="C14" s="149"/>
      <c r="D14" s="150"/>
      <c r="E14" s="151"/>
      <c r="F14" s="151"/>
      <c r="G14" s="152"/>
      <c r="H14" s="160"/>
    </row>
    <row r="15" spans="1:11" x14ac:dyDescent="0.25">
      <c r="A15" s="92"/>
      <c r="B15" s="153"/>
      <c r="C15" s="153"/>
      <c r="D15" s="153"/>
      <c r="E15" s="153"/>
      <c r="F15" s="172"/>
      <c r="G15" s="172"/>
      <c r="H15" s="161"/>
      <c r="I15" s="143"/>
    </row>
    <row r="16" spans="1:11" ht="11.25" customHeight="1" x14ac:dyDescent="0.25">
      <c r="A16" s="92"/>
      <c r="B16" s="154"/>
      <c r="C16" s="154"/>
      <c r="D16" s="153"/>
      <c r="E16" s="153"/>
      <c r="F16" s="172"/>
      <c r="G16" s="172"/>
      <c r="H16" s="162"/>
      <c r="I16" s="143"/>
    </row>
    <row r="17" spans="1:10" ht="12.75" customHeight="1" x14ac:dyDescent="0.25">
      <c r="A17" s="155"/>
      <c r="B17" s="154"/>
      <c r="C17" s="154"/>
      <c r="D17" s="153"/>
      <c r="E17" s="153"/>
      <c r="F17" s="172"/>
      <c r="G17" s="172"/>
      <c r="H17" s="162"/>
      <c r="I17" s="143"/>
    </row>
    <row r="18" spans="1:10" ht="12.75" customHeight="1" x14ac:dyDescent="0.25">
      <c r="A18" s="155"/>
      <c r="B18" s="154"/>
      <c r="C18" s="154"/>
      <c r="D18" s="153"/>
      <c r="E18" s="153"/>
      <c r="F18" s="92"/>
      <c r="G18" s="92"/>
      <c r="H18" s="163"/>
      <c r="I18" s="143"/>
    </row>
    <row r="19" spans="1:10" ht="12.75" customHeight="1" x14ac:dyDescent="0.25">
      <c r="A19" s="155"/>
      <c r="B19" s="154"/>
      <c r="C19" s="154"/>
      <c r="D19" s="153"/>
      <c r="E19" s="153"/>
      <c r="F19" s="156"/>
      <c r="G19" s="156"/>
      <c r="H19" s="163"/>
      <c r="I19" s="143"/>
    </row>
    <row r="20" spans="1:10" ht="11.25" customHeight="1" x14ac:dyDescent="0.25">
      <c r="A20" s="92"/>
      <c r="B20" s="157"/>
      <c r="C20" s="157"/>
      <c r="D20" s="92"/>
      <c r="E20" s="157"/>
      <c r="F20" s="92"/>
      <c r="G20" s="92"/>
      <c r="H20" s="164"/>
      <c r="I20" s="143"/>
    </row>
    <row r="21" spans="1:10" x14ac:dyDescent="0.25">
      <c r="A21" s="92"/>
      <c r="B21" s="157"/>
      <c r="C21" s="157"/>
      <c r="D21" s="157"/>
      <c r="E21" s="157"/>
      <c r="F21" s="156"/>
      <c r="G21" s="156"/>
      <c r="H21" s="163"/>
      <c r="I21" s="143"/>
    </row>
    <row r="22" spans="1:10" x14ac:dyDescent="0.25">
      <c r="A22" s="92"/>
      <c r="B22" s="157"/>
      <c r="C22" s="157"/>
      <c r="D22" s="157"/>
      <c r="E22" s="157"/>
      <c r="F22" s="156"/>
      <c r="G22" s="156"/>
      <c r="H22" s="163"/>
      <c r="I22" s="143"/>
    </row>
    <row r="23" spans="1:10" ht="12.75" customHeight="1" x14ac:dyDescent="0.25">
      <c r="A23" s="92"/>
      <c r="B23" s="158"/>
      <c r="C23" s="158"/>
      <c r="D23" s="158"/>
      <c r="E23" s="158"/>
      <c r="F23" s="92"/>
      <c r="G23" s="92"/>
      <c r="H23" s="165"/>
      <c r="I23" s="143"/>
    </row>
    <row r="24" spans="1:10" ht="11.25" customHeight="1" x14ac:dyDescent="0.25">
      <c r="A24" s="92"/>
      <c r="B24" s="158"/>
      <c r="C24" s="158"/>
      <c r="D24" s="158"/>
      <c r="E24" s="158"/>
      <c r="F24" s="158"/>
      <c r="G24" s="158"/>
      <c r="H24" s="166"/>
      <c r="I24" s="143"/>
    </row>
    <row r="25" spans="1:10" ht="8.25" customHeight="1" x14ac:dyDescent="0.25">
      <c r="A25" s="158"/>
      <c r="B25" s="158"/>
      <c r="C25" s="158"/>
      <c r="D25" s="158"/>
      <c r="E25" s="158"/>
      <c r="F25" s="158"/>
      <c r="G25" s="158"/>
      <c r="H25" s="166"/>
      <c r="I25" s="143"/>
    </row>
    <row r="26" spans="1:10" ht="14.1" customHeight="1" x14ac:dyDescent="0.25">
      <c r="A26" s="158"/>
      <c r="B26" s="158"/>
      <c r="C26" s="158"/>
      <c r="D26" s="158"/>
      <c r="E26" s="158"/>
      <c r="F26" s="158"/>
      <c r="G26" s="158"/>
      <c r="H26" s="166"/>
      <c r="I26" s="143"/>
    </row>
    <row r="27" spans="1:10" ht="14.1" customHeight="1" x14ac:dyDescent="0.25">
      <c r="A27" s="92"/>
      <c r="B27" s="92"/>
      <c r="C27" s="92"/>
      <c r="D27" s="92"/>
      <c r="E27" s="92"/>
      <c r="F27" s="158"/>
      <c r="G27" s="158"/>
      <c r="H27" s="166"/>
      <c r="I27" s="143"/>
    </row>
    <row r="28" spans="1:10" ht="14.1" customHeight="1" x14ac:dyDescent="0.25">
      <c r="A28" s="153"/>
      <c r="B28" s="153"/>
      <c r="C28" s="153"/>
      <c r="D28" s="153"/>
      <c r="E28" s="153"/>
      <c r="F28" s="92"/>
      <c r="G28" s="92"/>
      <c r="H28" s="164"/>
      <c r="I28" s="143"/>
    </row>
    <row r="29" spans="1:10" ht="14.1" customHeight="1" x14ac:dyDescent="0.25">
      <c r="A29" s="173"/>
      <c r="B29" s="173"/>
      <c r="C29" s="173"/>
      <c r="D29" s="173"/>
      <c r="E29" s="173"/>
      <c r="F29" s="173"/>
      <c r="G29" s="173"/>
      <c r="H29" s="174"/>
      <c r="I29" s="143"/>
    </row>
    <row r="30" spans="1:10" ht="14.1" customHeight="1" x14ac:dyDescent="0.25">
      <c r="A30" s="145"/>
      <c r="B30" s="145"/>
      <c r="C30" s="145"/>
      <c r="D30" s="145"/>
      <c r="E30" s="145"/>
      <c r="F30" s="145"/>
      <c r="G30" s="145"/>
      <c r="H30" s="145"/>
      <c r="I30" s="143"/>
    </row>
    <row r="31" spans="1:10" ht="14.1" customHeight="1" x14ac:dyDescent="0.25">
      <c r="A31" s="145"/>
      <c r="B31" s="145"/>
      <c r="C31" s="145"/>
      <c r="D31" s="145"/>
      <c r="E31" s="145"/>
      <c r="F31" s="145"/>
      <c r="G31" s="145"/>
      <c r="H31" s="147" t="s">
        <v>26</v>
      </c>
      <c r="I31" s="143"/>
    </row>
    <row r="32" spans="1:10" x14ac:dyDescent="0.25">
      <c r="A32" s="2"/>
      <c r="B32" s="2"/>
      <c r="C32" s="2"/>
      <c r="D32" s="2"/>
      <c r="E32" s="2"/>
      <c r="F32" s="2"/>
      <c r="G32" s="2"/>
      <c r="H32" s="175"/>
      <c r="I32" s="175"/>
      <c r="J32" s="147"/>
    </row>
    <row r="33" spans="6:10" x14ac:dyDescent="0.25">
      <c r="F33" s="2"/>
      <c r="G33" s="2"/>
      <c r="H33" s="2"/>
      <c r="I33" s="148"/>
      <c r="J33" s="148"/>
    </row>
    <row r="34" spans="6:10" x14ac:dyDescent="0.25">
      <c r="I34" s="91"/>
    </row>
    <row r="35" spans="6:10" x14ac:dyDescent="0.25">
      <c r="I35" s="91"/>
    </row>
    <row r="36" spans="6:10" x14ac:dyDescent="0.25">
      <c r="I36" s="91"/>
    </row>
    <row r="37" spans="6:10" x14ac:dyDescent="0.25">
      <c r="I37" s="91"/>
    </row>
    <row r="38" spans="6:10" x14ac:dyDescent="0.25">
      <c r="I38" s="91"/>
    </row>
  </sheetData>
  <mergeCells count="21">
    <mergeCell ref="I10:K10"/>
    <mergeCell ref="I7:K7"/>
    <mergeCell ref="I8:K8"/>
    <mergeCell ref="I33:J33"/>
    <mergeCell ref="H32:I32"/>
    <mergeCell ref="C4:E4"/>
    <mergeCell ref="A1:B1"/>
    <mergeCell ref="C1:D1"/>
    <mergeCell ref="G1:H1"/>
    <mergeCell ref="C2:D3"/>
    <mergeCell ref="A3:B3"/>
    <mergeCell ref="A5:B5"/>
    <mergeCell ref="C5:D5"/>
    <mergeCell ref="C6:E6"/>
    <mergeCell ref="A7:B7"/>
    <mergeCell ref="C7:D7"/>
    <mergeCell ref="H7:H8"/>
    <mergeCell ref="A10:B10"/>
    <mergeCell ref="C10:E10"/>
    <mergeCell ref="C11:E11"/>
    <mergeCell ref="G7:G8"/>
  </mergeCells>
  <printOptions horizontalCentered="1"/>
  <pageMargins left="0.19685039370078741" right="0.19685039370078741" top="1.7716535433070868" bottom="0" header="0" footer="0"/>
  <pageSetup scale="82" orientation="portrait" verticalDpi="300" r:id="rId1"/>
  <headerFooter>
    <oddHeader>&amp;L&amp;9&amp;G&amp;C
&amp;G&amp;R
&amp;"-,Negrita"&amp;9RIF: J-40882759-0
PUERTO ORDAZ, ESTADO BOLÍVAR</oddHead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Word.Document.8" shapeId="27649" r:id="rId5">
          <objectPr defaultSize="0" r:id="rId6">
            <anchor moveWithCells="1">
              <from>
                <xdr:col>7</xdr:col>
                <xdr:colOff>28575</xdr:colOff>
                <xdr:row>11</xdr:row>
                <xdr:rowOff>9525</xdr:rowOff>
              </from>
              <to>
                <xdr:col>14</xdr:col>
                <xdr:colOff>676275</xdr:colOff>
                <xdr:row>29</xdr:row>
                <xdr:rowOff>123825</xdr:rowOff>
              </to>
            </anchor>
          </objectPr>
        </oleObject>
      </mc:Choice>
      <mc:Fallback>
        <oleObject progId="Word.Document.8" shapeId="27649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C.C. 24 - 0001</vt:lpstr>
      <vt:lpstr>C.C. 24 - 0001 (2)</vt:lpstr>
      <vt:lpstr>C.C. 24 - 0001 (3)</vt:lpstr>
      <vt:lpstr>Hoja1</vt:lpstr>
      <vt:lpstr>'C.C. 24 - 0001'!Área_de_impresión</vt:lpstr>
      <vt:lpstr>'C.C. 24 - 0001 (2)'!Área_de_impresión</vt:lpstr>
      <vt:lpstr>'C.C. 24 - 0001 (3)'!Área_de_impresión</vt:lpstr>
      <vt:lpstr>Hoja1!Área_de_impresión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licho</dc:creator>
  <cp:lastModifiedBy>angel</cp:lastModifiedBy>
  <cp:lastPrinted>2025-08-22T17:27:24Z</cp:lastPrinted>
  <dcterms:created xsi:type="dcterms:W3CDTF">2011-06-28T23:29:01Z</dcterms:created>
  <dcterms:modified xsi:type="dcterms:W3CDTF">2025-11-17T03:15:30Z</dcterms:modified>
</cp:coreProperties>
</file>