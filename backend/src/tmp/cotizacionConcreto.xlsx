
<file path=[Content_Types].xml><?xml version="1.0" encoding="utf-8"?>
<Types xmlns="http://schemas.openxmlformats.org/package/2006/content-types">
  <Default Extension="emf" ContentType="image/e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5600" windowHeight="11310" firstSheet="3" activeTab="3"/>
  </bookViews>
  <sheets>
    <sheet sheetId="24" name="C.C. 24 - 0001" state="visible" r:id="rId4"/>
    <sheet sheetId="25" name="C.C. 24 - 0001 (2)" state="visible" r:id="rId5"/>
    <sheet sheetId="26" name="C.C. 24 - 0001 (3)" state="visible" r:id="rId6"/>
    <sheet sheetId="27" name="Hoja1" state="visible" r:id="rId7"/>
  </sheets>
  <definedNames>
    <definedName name="_xlnm.Print_Area" localSheetId="0">'C.C. 24 - 0001'!$A1:$H55</definedName>
    <definedName name="_xlnm.Print_Area" localSheetId="1">'C.C. 24 - 0001 (2)'!$A1:$H48</definedName>
    <definedName name="_xlnm.Print_Area" localSheetId="2">'C.C. 24 - 0001 (3)'!$A1:$H45</definedName>
    <definedName name="_xlnm.Print_Area" localSheetId="3">'Hoja1'!$A1:$P38</definedName>
  </definedNames>
  <calcPr calcId="171027"/>
</workbook>
</file>

<file path=xl/sharedStrings.xml><?xml version="1.0" encoding="utf-8"?>
<sst xmlns="http://schemas.openxmlformats.org/spreadsheetml/2006/main" count="166" uniqueCount="68">
  <si>
    <t xml:space="preserve">CLIENTE: </t>
  </si>
  <si>
    <t>Por favor hacer referencia en su orden de compra</t>
  </si>
  <si>
    <t>Cotización Nº:</t>
  </si>
  <si>
    <t>Fecha:</t>
  </si>
  <si>
    <t>RIF:</t>
  </si>
  <si>
    <t>C.C. 25 -0001</t>
  </si>
  <si>
    <t>Validez de Oferta:</t>
  </si>
  <si>
    <t>Cond. de Pago:</t>
  </si>
  <si>
    <t>TELÉFONO:</t>
  </si>
  <si>
    <t>2 DIAS</t>
  </si>
  <si>
    <t>CONTADO</t>
  </si>
  <si>
    <t>Persona de Cont:</t>
  </si>
  <si>
    <t>Nº Directo:</t>
  </si>
  <si>
    <t>DIRECCIÓN:</t>
  </si>
  <si>
    <t>ARQUIMEDES MARQUEZ</t>
  </si>
  <si>
    <t>0426-5917741</t>
  </si>
  <si>
    <t>ATENCIÓN:</t>
  </si>
  <si>
    <t>Nro. de Cot. Cliente:</t>
  </si>
  <si>
    <t>Ítem</t>
  </si>
  <si>
    <t>Cantidad</t>
  </si>
  <si>
    <t>UM</t>
  </si>
  <si>
    <t xml:space="preserve">Descripción </t>
  </si>
  <si>
    <t>RESISTENCIA REQUERIDA</t>
  </si>
  <si>
    <t xml:space="preserve">P.U </t>
  </si>
  <si>
    <t xml:space="preserve">Total </t>
  </si>
  <si>
    <t xml:space="preserve">CONCRETO PREMEZCLADO </t>
  </si>
  <si>
    <t>M3</t>
  </si>
  <si>
    <t>CONCRETO PREMEZCLADO TAMAÑO MÁXIMO DE 3/4", CON ADITIVO HIDROFUGO, F'C 250 KG/CM2. ASENTAMIENTO 5", VUC= 4 HRS, COLOCADO EN TUMEREMO - EDO. BOLÍVAR</t>
  </si>
  <si>
    <t>Condiciones de la Oferta:</t>
  </si>
  <si>
    <t>Sub-Total ($):</t>
  </si>
  <si>
    <t>TASA DE CAMBIO BCV</t>
  </si>
  <si>
    <t>I.V.A (16%):</t>
  </si>
  <si>
    <t>DATOS BANCARIOS: CONSTRUCTORA CUYUNI C.A.  RIF J-408827590</t>
  </si>
  <si>
    <t>% de Descuento:</t>
  </si>
  <si>
    <t>BCO. PROVINCIAL: 0108-0088-91-0100931680</t>
  </si>
  <si>
    <t>Total $</t>
  </si>
  <si>
    <t>BCO. VENEZUELA: 0102-0636-71-0000596352</t>
  </si>
  <si>
    <t>CONDICIONES DE LA OFERTA</t>
  </si>
  <si>
    <t>FERRETERIA EL MINERITO</t>
  </si>
  <si>
    <t>C.C. 25 -0002</t>
  </si>
  <si>
    <t>0412-2494143</t>
  </si>
  <si>
    <t>EL AEROPUERTO EL DORADO, MUNICIPIO SIFONTES - EDO. BOLÍVAR</t>
  </si>
  <si>
    <t>SR ARKIN</t>
  </si>
  <si>
    <t>CONCRETO PREMEZCLADO TAMAÑO MÁXIMO DE 3/8", F'C 210 KG/CM2. ASENTAMIENTO 7", VUC= 4 HRS, COLOCADO EL DORADO - EDO. BOLÍVAR</t>
  </si>
  <si>
    <t>UND</t>
  </si>
  <si>
    <t xml:space="preserve">FIBRA DE POLIPROPILENO </t>
  </si>
  <si>
    <t>ALQUILER DE EQUIPO BOMBA</t>
  </si>
  <si>
    <t>ARTURO QUINTERO</t>
  </si>
  <si>
    <t>C.C. 25 -0003</t>
  </si>
  <si>
    <t>Inversiones santa maria C.A</t>
  </si>
  <si>
    <t>23568958</t>
  </si>
  <si>
    <t>25-152</t>
  </si>
  <si>
    <t>2025-11-19</t>
  </si>
  <si>
    <t>04128569569</t>
  </si>
  <si>
    <t>2 dias</t>
  </si>
  <si>
    <t>Contado</t>
  </si>
  <si>
    <t>muy lejos</t>
  </si>
  <si>
    <t>Juan Gomez</t>
  </si>
  <si>
    <t>0145-2512521</t>
  </si>
  <si>
    <t xml:space="preserve">PAGO EN DIVISAS </t>
  </si>
  <si>
    <t>M</t>
  </si>
  <si>
    <t>10</t>
  </si>
  <si>
    <t>BOmba arrechisima</t>
  </si>
  <si>
    <t>25</t>
  </si>
  <si>
    <t>1000</t>
  </si>
  <si>
    <t>KG</t>
  </si>
  <si>
    <t>bomba mas arrecha todaviaa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</si>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</sst>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_ [$USD] * #,##0.00_ ;_ [$USD] * -#,##0.00_ ;_ [$USD] * &quot;-&quot;??_ ;_ @_ "/>
  </numFmts>
  <fonts count="1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i/>
      <color theme="0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b/>
      <i/>
      <color theme="1"/>
      <family val="2"/>
      <scheme val="minor"/>
      <sz val="11"/>
      <name val="Calibri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C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22" fontId="5" fillId="2" borderId="2" xfId="0" applyNumberFormat="1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0" fillId="2" borderId="3" xfId="0" applyFill="1" applyBorder="1" applyProtection="1">
      <protection locked="0"/>
    </xf>
    <xf numFmtId="0" fontId="0" fillId="2" borderId="0" xfId="0" applyFill="1" applyProtection="1">
      <protection locked="0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2" borderId="0" xfId="0" applyFill="1" applyAlignment="1">
      <alignment vertical="top" wrapText="1"/>
    </xf>
    <xf numFmtId="0" fontId="3" fillId="2" borderId="4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10" xfId="0" applyFont="1" applyFill="1" applyBorder="1" applyAlignment="1" applyProtection="1">
      <alignment vertical="center"/>
      <protection locked="0"/>
    </xf>
    <xf numFmtId="2" fontId="3" fillId="2" borderId="9" xfId="0" applyNumberFormat="1" applyFont="1" applyFill="1" applyBorder="1" applyAlignment="1" applyProtection="1">
      <alignment horizontal="center"/>
      <protection locked="0"/>
    </xf>
    <xf numFmtId="2" fontId="3" fillId="2" borderId="4" xfId="0" applyNumberFormat="1" applyFont="1" applyFill="1" applyBorder="1" applyAlignment="1" applyProtection="1">
      <alignment horizontal="right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2" fontId="3" fillId="2" borderId="12" xfId="0" applyNumberFormat="1" applyFont="1" applyFill="1" applyBorder="1" applyAlignment="1" applyProtection="1">
      <alignment horizontal="center"/>
      <protection locked="0"/>
    </xf>
    <xf numFmtId="2" fontId="3" fillId="2" borderId="11" xfId="0" applyNumberFormat="1" applyFont="1" applyFill="1" applyBorder="1" applyAlignment="1" applyProtection="1">
      <alignment horizontal="right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2" fontId="3" fillId="2" borderId="11" xfId="0" applyNumberFormat="1" applyFont="1" applyFill="1" applyBorder="1" applyAlignment="1" applyProtection="1">
      <alignment horizontal="center" vertical="center"/>
      <protection locked="0"/>
    </xf>
    <xf numFmtId="2" fontId="3" fillId="2" borderId="11" xfId="0" applyNumberFormat="1" applyFont="1" applyFill="1" applyBorder="1" applyAlignment="1" applyProtection="1">
      <alignment horizontal="right" vertical="center"/>
      <protection locked="0"/>
    </xf>
    <xf numFmtId="0" fontId="3" fillId="2" borderId="11" xfId="0" applyFont="1" applyFill="1" applyBorder="1" applyAlignment="1" applyProtection="1">
      <alignment vertical="center" wrapText="1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left" vertical="top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2" fontId="3" fillId="2" borderId="11" xfId="0" applyNumberFormat="1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left"/>
      <protection locked="0"/>
    </xf>
    <xf numFmtId="2" fontId="3" fillId="2" borderId="0" xfId="0" applyNumberFormat="1" applyFont="1" applyFill="1" applyAlignment="1" applyProtection="1">
      <alignment horizontal="right"/>
      <protection locked="0"/>
    </xf>
    <xf numFmtId="0" fontId="3" fillId="2" borderId="12" xfId="0" applyFont="1" applyFill="1" applyBorder="1" applyAlignment="1" applyProtection="1">
      <alignment horizontal="left"/>
      <protection locked="0"/>
    </xf>
    <xf numFmtId="2" fontId="3" fillId="2" borderId="12" xfId="0" applyNumberFormat="1" applyFont="1" applyFill="1" applyBorder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6" fillId="2" borderId="5" xfId="0" applyFont="1" applyFill="1" applyBorder="1" applyAlignment="1">
      <alignment horizontal="left"/>
    </xf>
    <xf numFmtId="0" fontId="3" fillId="2" borderId="1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164" fontId="3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 applyProtection="1">
      <alignment horizontal="left"/>
      <protection locked="0"/>
    </xf>
    <xf numFmtId="164" fontId="7" fillId="2" borderId="0" xfId="0" applyNumberFormat="1" applyFont="1" applyFill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vertical="center" wrapText="1"/>
      <protection locked="0"/>
    </xf>
    <xf numFmtId="0" fontId="3" fillId="5" borderId="12" xfId="0" applyFont="1" applyFill="1" applyBorder="1" applyAlignment="1" applyProtection="1">
      <alignment horizontal="center"/>
      <protection locked="0"/>
    </xf>
    <xf numFmtId="0" fontId="3" fillId="5" borderId="13" xfId="0" applyFont="1" applyFill="1" applyBorder="1" applyAlignment="1" applyProtection="1">
      <alignment horizontal="center"/>
      <protection locked="0"/>
    </xf>
    <xf numFmtId="2" fontId="3" fillId="5" borderId="11" xfId="0" applyNumberFormat="1" applyFont="1" applyFill="1" applyBorder="1" applyAlignment="1" applyProtection="1">
      <alignment horizontal="center" vertical="center"/>
      <protection locked="0"/>
    </xf>
    <xf numFmtId="2" fontId="3" fillId="5" borderId="11" xfId="0" applyNumberFormat="1" applyFont="1" applyFill="1" applyBorder="1" applyAlignment="1" applyProtection="1">
      <alignment vertical="center"/>
      <protection locked="0"/>
    </xf>
    <xf numFmtId="2" fontId="3" fillId="2" borderId="11" xfId="0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5" borderId="11" xfId="0" applyFont="1" applyFill="1" applyBorder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3" fillId="5" borderId="11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3" fillId="5" borderId="11" xfId="0" applyNumberFormat="1" applyFont="1" applyFill="1" applyBorder="1" applyAlignment="1" applyProtection="1">
      <alignment horizontal="right" vertical="center"/>
      <protection locked="0"/>
    </xf>
    <xf numFmtId="0" fontId="3" fillId="5" borderId="5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Alignment="1" applyProtection="1">
      <alignment horizontal="center" vertical="center" wrapText="1"/>
      <protection locked="0"/>
    </xf>
    <xf numFmtId="0" fontId="3" fillId="5" borderId="15" xfId="0" applyFont="1" applyFill="1" applyBorder="1" applyAlignment="1" applyProtection="1">
      <alignment horizontal="center"/>
      <protection locked="0"/>
    </xf>
    <xf numFmtId="2" fontId="3" fillId="5" borderId="5" xfId="0" applyNumberFormat="1" applyFont="1" applyFill="1" applyBorder="1" applyAlignment="1" applyProtection="1">
      <alignment vertical="center"/>
      <protection locked="0"/>
    </xf>
    <xf numFmtId="2" fontId="3" fillId="2" borderId="2" xfId="0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0" fillId="6" borderId="16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2" fontId="10" fillId="6" borderId="16" xfId="0" applyNumberFormat="1" applyFont="1" applyFill="1" applyBorder="1" applyAlignment="1" applyProtection="1">
      <alignment horizontal="center" vertical="center" wrapText="1"/>
      <protection locked="0"/>
    </xf>
    <xf numFmtId="2" fontId="3" fillId="2" borderId="3" xfId="0" applyNumberFormat="1" applyFont="1" applyFill="1" applyBorder="1" applyAlignment="1" applyProtection="1">
      <alignment horizontal="right"/>
      <protection locked="0"/>
    </xf>
    <xf numFmtId="2" fontId="3" fillId="2" borderId="17" xfId="0" applyNumberFormat="1" applyFont="1" applyFill="1" applyBorder="1" applyAlignment="1" applyProtection="1">
      <alignment horizontal="right"/>
      <protection locked="0"/>
    </xf>
    <xf numFmtId="0" fontId="10" fillId="6" borderId="16" xfId="0" applyFont="1" applyFill="1" applyBorder="1" applyAlignment="1">
      <alignment horizontal="center" vertical="center" wrapText="1"/>
    </xf>
    <xf numFmtId="164" fontId="3" fillId="2" borderId="17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/>
    </xf>
    <xf numFmtId="164" fontId="3" fillId="2" borderId="17" xfId="0" applyNumberFormat="1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left"/>
      <protection locked="0"/>
    </xf>
    <xf numFmtId="164" fontId="3" fillId="0" borderId="1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2" borderId="2" xfId="0" applyFill="1" applyBorder="1" applyAlignment="1" applyProtection="1">
      <alignment horizontal="left"/>
      <protection locked="0"/>
    </xf>
    <xf numFmtId="164" fontId="7" fillId="2" borderId="17" xfId="0" applyNumberFormat="1" applyFont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left"/>
      <protection locked="0"/>
    </xf>
    <xf numFmtId="0" fontId="0" fillId="2" borderId="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7" fillId="2" borderId="0" xfId="0" applyFont="1" applyFill="1" applyAlignment="1">
      <alignment vertic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4.xml"/><Relationship Id="rId5" Type="http://schemas.openxmlformats.org/officeDocument/2006/relationships/worksheet" Target="worksheets/sheet25.xml"/><Relationship Id="rId6" Type="http://schemas.openxmlformats.org/officeDocument/2006/relationships/worksheet" Target="worksheets/sheet26.xml"/><Relationship Id="rId7" Type="http://schemas.openxmlformats.org/officeDocument/2006/relationships/worksheet" Target="worksheets/sheet2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728132</xdr:colOff>
      <xdr:row>26</xdr:row>
      <xdr:rowOff>110492</xdr:rowOff>
    </xdr:from>
    <xdr:to>
      <xdr:col>3</xdr:col>
      <xdr:colOff>2295525</xdr:colOff>
      <xdr:row>30</xdr:row>
      <xdr:rowOff>160599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24</xdr:row>
      <xdr:rowOff>48195</xdr:rowOff>
    </xdr:from>
    <xdr:to>
      <xdr:col>3</xdr:col>
      <xdr:colOff>2324100</xdr:colOff>
      <xdr:row>28</xdr:row>
      <xdr:rowOff>126307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21</xdr:row>
      <xdr:rowOff>48195</xdr:rowOff>
    </xdr:from>
    <xdr:to>
      <xdr:col>3</xdr:col>
      <xdr:colOff>2324100</xdr:colOff>
      <xdr:row>25</xdr:row>
      <xdr:rowOff>126307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213781</xdr:colOff>
      <xdr:row>30</xdr:row>
      <xdr:rowOff>160564</xdr:rowOff>
    </xdr:from>
    <xdr:to>
      <xdr:col>12</xdr:col>
      <xdr:colOff>263977</xdr:colOff>
      <xdr:row>34</xdr:row>
      <xdr:rowOff>62353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I50"/>
  <sheetViews>
    <sheetView workbookViewId="0" zoomScale="100" zoomScaleNormal="100" view="pageBreakPreview">
      <selection activeCell="J11" sqref="J11"/>
    </sheetView>
  </sheetViews>
  <sheetFormatPr defaultRowHeight="15" outlineLevelRow="0" outlineLevelCol="0" x14ac:dyDescent="0.25"/>
  <cols>
    <col min="1" max="1" width="4.7109375" style="1" customWidth="1"/>
    <col min="2" max="2" width="7.140625" style="1" customWidth="1"/>
    <col min="3" max="3" width="5" style="1" customWidth="1"/>
    <col min="4" max="4" width="43.5703125" style="1" customWidth="1"/>
    <col min="5" max="5" width="6.28515625" style="1" customWidth="1"/>
    <col min="6" max="6" width="5.85546875" style="1" customWidth="1"/>
    <col min="7" max="7" width="12.85546875" style="1" customWidth="1"/>
    <col min="8" max="8" width="13" style="1" customWidth="1"/>
    <col min="9" max="9" width="15.140625" customWidth="1"/>
  </cols>
  <sheetData>
    <row r="1" ht="33" customHeight="1" spans="1:8" x14ac:dyDescent="0.25">
      <c r="A1" s="2" t="s">
        <v>0</v>
      </c>
      <c r="B1" s="2"/>
      <c r="C1" s="3"/>
      <c r="D1" s="3"/>
      <c r="E1" s="4"/>
      <c r="F1" s="4"/>
      <c r="G1" s="5" t="s">
        <v>1</v>
      </c>
      <c r="H1" s="5"/>
    </row>
    <row r="2" ht="12.95" customHeight="1" spans="3:8" x14ac:dyDescent="0.25">
      <c r="C2" s="6"/>
      <c r="D2" s="6"/>
      <c r="E2" s="7"/>
      <c r="F2" s="4"/>
      <c r="G2" s="8" t="s">
        <v>2</v>
      </c>
      <c r="H2" s="8" t="s">
        <v>3</v>
      </c>
    </row>
    <row r="3" ht="12.95" customHeight="1" spans="1:8" x14ac:dyDescent="0.25">
      <c r="A3" s="2" t="s">
        <v>4</v>
      </c>
      <c r="B3" s="2"/>
      <c r="C3" s="9"/>
      <c r="D3" s="9"/>
      <c r="E3" s="10"/>
      <c r="F3" s="4"/>
      <c r="G3" s="11" t="s">
        <v>5</v>
      </c>
      <c r="H3" s="12"/>
    </row>
    <row r="4" ht="12.95" customHeight="1" spans="3:8" x14ac:dyDescent="0.25">
      <c r="C4" s="13"/>
      <c r="D4" s="13"/>
      <c r="E4" s="13"/>
      <c r="F4" s="4"/>
      <c r="G4" s="8" t="s">
        <v>6</v>
      </c>
      <c r="H4" s="8" t="s">
        <v>7</v>
      </c>
    </row>
    <row r="5" ht="12.95" customHeight="1" spans="1:8" x14ac:dyDescent="0.25">
      <c r="A5" s="2" t="s">
        <v>8</v>
      </c>
      <c r="B5" s="2"/>
      <c r="C5" s="14"/>
      <c r="D5" s="14"/>
      <c r="E5" s="10"/>
      <c r="F5" s="4"/>
      <c r="G5" s="15" t="s">
        <v>9</v>
      </c>
      <c r="H5" s="16" t="s">
        <v>10</v>
      </c>
    </row>
    <row r="6" ht="12.75" customHeight="1" spans="3:8" x14ac:dyDescent="0.25">
      <c r="C6" s="13"/>
      <c r="D6" s="13"/>
      <c r="E6" s="13"/>
      <c r="F6" s="4"/>
      <c r="G6" s="17" t="s">
        <v>11</v>
      </c>
      <c r="H6" s="17" t="s">
        <v>12</v>
      </c>
    </row>
    <row r="7" ht="12.75" customHeight="1" spans="1:8" x14ac:dyDescent="0.25">
      <c r="A7" s="2" t="s">
        <v>13</v>
      </c>
      <c r="B7" s="2"/>
      <c r="C7" s="14"/>
      <c r="D7" s="14"/>
      <c r="E7" s="10"/>
      <c r="F7" s="4"/>
      <c r="G7" s="18" t="s">
        <v>14</v>
      </c>
      <c r="H7" s="19" t="s">
        <v>15</v>
      </c>
    </row>
    <row r="8" ht="9" customHeight="1" spans="3:8" x14ac:dyDescent="0.25">
      <c r="C8" s="20"/>
      <c r="D8" s="20"/>
      <c r="E8" s="21"/>
      <c r="F8" s="4"/>
      <c r="G8" s="22"/>
      <c r="H8" s="23"/>
    </row>
    <row r="9" ht="12.95" customHeight="1" spans="3:8" x14ac:dyDescent="0.25">
      <c r="C9" s="24"/>
      <c r="D9" s="24"/>
      <c r="E9" s="24"/>
      <c r="F9" s="4"/>
      <c r="G9" s="25"/>
      <c r="H9" s="25"/>
    </row>
    <row r="10" ht="12.95" customHeight="1" spans="1:8" x14ac:dyDescent="0.25">
      <c r="A10" s="2" t="s">
        <v>16</v>
      </c>
      <c r="B10" s="2"/>
      <c r="C10" s="26"/>
      <c r="D10" s="26"/>
      <c r="E10" s="26"/>
      <c r="F10" s="4"/>
      <c r="G10" s="27" t="s">
        <v>17</v>
      </c>
      <c r="H10" s="28" t="str">
        <f>+G3</f>
        <v>C.C. 25 -0001</v>
      </c>
    </row>
    <row r="11" ht="12.95" customHeight="1" spans="1:9" x14ac:dyDescent="0.25">
      <c r="A11" s="29"/>
      <c r="B11" s="29"/>
      <c r="C11" s="10"/>
      <c r="D11" s="10"/>
      <c r="E11" s="10"/>
      <c r="F11" s="4"/>
      <c r="G11" s="4"/>
      <c r="H11" s="4"/>
      <c r="I11" s="30"/>
    </row>
    <row r="12" ht="22.5" customHeight="1" spans="1:9" x14ac:dyDescent="0.25">
      <c r="A12" s="31" t="s">
        <v>18</v>
      </c>
      <c r="B12" s="31" t="s">
        <v>19</v>
      </c>
      <c r="C12" s="31" t="s">
        <v>20</v>
      </c>
      <c r="D12" s="31" t="s">
        <v>21</v>
      </c>
      <c r="E12" s="32" t="s">
        <v>22</v>
      </c>
      <c r="F12" s="33"/>
      <c r="G12" s="34" t="s">
        <v>23</v>
      </c>
      <c r="H12" s="34" t="s">
        <v>24</v>
      </c>
      <c r="I12" s="35"/>
    </row>
    <row r="13" spans="1:9" x14ac:dyDescent="0.25">
      <c r="A13" s="36"/>
      <c r="B13" s="6"/>
      <c r="C13" s="36"/>
      <c r="D13" s="37" t="s">
        <v>25</v>
      </c>
      <c r="E13" s="38"/>
      <c r="F13" s="39"/>
      <c r="G13" s="40"/>
      <c r="H13" s="41"/>
      <c r="I13" s="30"/>
    </row>
    <row r="14" spans="1:9" x14ac:dyDescent="0.25">
      <c r="A14" s="42"/>
      <c r="B14" s="43"/>
      <c r="C14" s="42"/>
      <c r="D14" s="44"/>
      <c r="E14" s="45"/>
      <c r="F14" s="46"/>
      <c r="G14" s="47"/>
      <c r="H14" s="48"/>
      <c r="I14" s="30"/>
    </row>
    <row r="15" ht="15" customHeight="1" spans="1:9" x14ac:dyDescent="0.25">
      <c r="A15" s="49">
        <v>1</v>
      </c>
      <c r="B15" s="49">
        <v>22</v>
      </c>
      <c r="C15" s="49" t="s">
        <v>26</v>
      </c>
      <c r="D15" s="50" t="s">
        <v>27</v>
      </c>
      <c r="E15" s="51">
        <v>250</v>
      </c>
      <c r="F15" s="52"/>
      <c r="G15" s="53">
        <v>220</v>
      </c>
      <c r="H15" s="54">
        <f>G15*B15</f>
        <v>4840</v>
      </c>
      <c r="I15" s="30"/>
    </row>
    <row r="16" spans="1:9" x14ac:dyDescent="0.25">
      <c r="A16" s="49"/>
      <c r="B16" s="49"/>
      <c r="C16" s="49"/>
      <c r="D16" s="50"/>
      <c r="E16" s="51"/>
      <c r="F16" s="52"/>
      <c r="G16" s="53"/>
      <c r="H16" s="54"/>
      <c r="I16" s="30"/>
    </row>
    <row r="17" ht="22.5" customHeight="1" spans="1:9" x14ac:dyDescent="0.25">
      <c r="A17" s="49"/>
      <c r="B17" s="49"/>
      <c r="C17" s="49"/>
      <c r="D17" s="50"/>
      <c r="E17" s="51"/>
      <c r="F17" s="52"/>
      <c r="G17" s="53"/>
      <c r="H17" s="54"/>
      <c r="I17" s="30"/>
    </row>
    <row r="18" ht="12" customHeight="1" spans="1:9" x14ac:dyDescent="0.25">
      <c r="A18" s="49"/>
      <c r="B18" s="49"/>
      <c r="C18" s="49"/>
      <c r="D18" s="55"/>
      <c r="E18" s="56"/>
      <c r="F18" s="57"/>
      <c r="G18" s="53"/>
      <c r="H18" s="54"/>
      <c r="I18" s="30"/>
    </row>
    <row r="19" spans="1:9" x14ac:dyDescent="0.25">
      <c r="A19" s="49"/>
      <c r="B19" s="58"/>
      <c r="C19" s="59"/>
      <c r="D19" s="50"/>
      <c r="E19" s="56"/>
      <c r="F19" s="57"/>
      <c r="G19" s="60"/>
      <c r="H19" s="48"/>
      <c r="I19" s="30"/>
    </row>
    <row r="20" spans="1:9" x14ac:dyDescent="0.25">
      <c r="A20" s="49"/>
      <c r="B20" s="58"/>
      <c r="C20" s="59"/>
      <c r="D20" s="61"/>
      <c r="E20" s="56"/>
      <c r="F20" s="57"/>
      <c r="G20" s="60"/>
      <c r="H20" s="48"/>
      <c r="I20" s="30"/>
    </row>
    <row r="21" spans="1:9" x14ac:dyDescent="0.25">
      <c r="A21" s="49"/>
      <c r="B21" s="58"/>
      <c r="C21" s="59"/>
      <c r="D21" s="62"/>
      <c r="E21" s="56"/>
      <c r="F21" s="57"/>
      <c r="G21" s="60"/>
      <c r="H21" s="48"/>
      <c r="I21" s="30"/>
    </row>
    <row r="22" spans="1:9" x14ac:dyDescent="0.25">
      <c r="A22" s="49"/>
      <c r="B22" s="58"/>
      <c r="C22" s="59"/>
      <c r="D22" s="61"/>
      <c r="E22" s="56"/>
      <c r="F22" s="57"/>
      <c r="G22" s="60"/>
      <c r="H22" s="48"/>
      <c r="I22" s="30"/>
    </row>
    <row r="23" spans="1:9" x14ac:dyDescent="0.25">
      <c r="A23" s="49"/>
      <c r="B23" s="58"/>
      <c r="C23" s="59"/>
      <c r="D23" s="61"/>
      <c r="E23" s="56"/>
      <c r="F23" s="57"/>
      <c r="G23" s="60"/>
      <c r="H23" s="48"/>
      <c r="I23" s="30"/>
    </row>
    <row r="24" spans="1:9" x14ac:dyDescent="0.25">
      <c r="A24" s="49"/>
      <c r="B24" s="58"/>
      <c r="C24" s="59"/>
      <c r="D24" s="61"/>
      <c r="E24" s="56"/>
      <c r="F24" s="57"/>
      <c r="G24" s="60"/>
      <c r="H24" s="63"/>
      <c r="I24" s="30"/>
    </row>
    <row r="25" spans="1:9" x14ac:dyDescent="0.25">
      <c r="A25" s="49"/>
      <c r="B25" s="58"/>
      <c r="C25" s="59"/>
      <c r="D25" s="61"/>
      <c r="E25" s="56"/>
      <c r="F25" s="57"/>
      <c r="G25" s="60"/>
      <c r="H25" s="63"/>
      <c r="I25" s="30"/>
    </row>
    <row r="26" spans="1:9" x14ac:dyDescent="0.25">
      <c r="A26" s="42"/>
      <c r="B26" s="43"/>
      <c r="C26" s="56"/>
      <c r="D26" s="64"/>
      <c r="E26" s="56"/>
      <c r="F26" s="57"/>
      <c r="G26" s="65"/>
      <c r="H26" s="48"/>
      <c r="I26" s="30"/>
    </row>
    <row r="27" spans="1:9" x14ac:dyDescent="0.25">
      <c r="A27" s="42"/>
      <c r="B27" s="43"/>
      <c r="C27" s="56"/>
      <c r="D27" s="66"/>
      <c r="E27" s="56"/>
      <c r="F27" s="57"/>
      <c r="G27" s="67"/>
      <c r="H27" s="48"/>
      <c r="I27" s="30"/>
    </row>
    <row r="28" spans="1:9" x14ac:dyDescent="0.25">
      <c r="A28" s="42"/>
      <c r="B28" s="43"/>
      <c r="C28" s="42"/>
      <c r="D28" s="68"/>
      <c r="E28" s="56"/>
      <c r="F28" s="57"/>
      <c r="G28" s="43"/>
      <c r="H28" s="42"/>
      <c r="I28" s="30"/>
    </row>
    <row r="29" spans="1:9" x14ac:dyDescent="0.25">
      <c r="A29" s="42"/>
      <c r="B29" s="43"/>
      <c r="C29" s="42"/>
      <c r="E29" s="56"/>
      <c r="F29" s="57"/>
      <c r="G29" s="43"/>
      <c r="H29" s="42"/>
      <c r="I29" s="30"/>
    </row>
    <row r="30" spans="1:9" x14ac:dyDescent="0.25">
      <c r="A30" s="42"/>
      <c r="B30" s="43"/>
      <c r="C30" s="42"/>
      <c r="E30" s="56"/>
      <c r="F30" s="57"/>
      <c r="G30" s="43"/>
      <c r="H30" s="42"/>
      <c r="I30" s="30"/>
    </row>
    <row r="31" spans="1:9" x14ac:dyDescent="0.25">
      <c r="A31" s="69"/>
      <c r="B31" s="9"/>
      <c r="C31" s="69"/>
      <c r="D31" s="70"/>
      <c r="E31" s="71"/>
      <c r="F31" s="72"/>
      <c r="G31" s="9"/>
      <c r="H31" s="69"/>
      <c r="I31" s="30"/>
    </row>
    <row r="32" spans="1:9" x14ac:dyDescent="0.25">
      <c r="A32" s="73" t="s">
        <v>28</v>
      </c>
      <c r="B32" s="4"/>
      <c r="C32" s="4"/>
      <c r="D32" s="4"/>
      <c r="E32" s="4"/>
      <c r="F32" s="74" t="s">
        <v>29</v>
      </c>
      <c r="G32" s="74"/>
      <c r="H32" s="75">
        <f>SUM(H13:H31)</f>
        <v>4840</v>
      </c>
      <c r="I32" s="30"/>
    </row>
    <row r="33" ht="11.25" customHeight="1" spans="1:9" x14ac:dyDescent="0.25">
      <c r="A33" s="76" t="s">
        <v>30</v>
      </c>
      <c r="B33" s="77"/>
      <c r="C33" s="77"/>
      <c r="D33" s="4"/>
      <c r="E33" s="4"/>
      <c r="F33" s="74" t="s">
        <v>31</v>
      </c>
      <c r="G33" s="74"/>
      <c r="H33" s="78">
        <f>+H32*0.16</f>
        <v>774.4</v>
      </c>
      <c r="I33" s="30"/>
    </row>
    <row r="34" ht="12.75" customHeight="1" spans="1:9" x14ac:dyDescent="0.25">
      <c r="A34" s="79" t="s">
        <v>32</v>
      </c>
      <c r="B34" s="77"/>
      <c r="C34" s="77"/>
      <c r="D34" s="4"/>
      <c r="E34" s="4"/>
      <c r="F34" s="74" t="s">
        <v>33</v>
      </c>
      <c r="G34" s="74"/>
      <c r="H34" s="78">
        <v>0</v>
      </c>
      <c r="I34" s="30"/>
    </row>
    <row r="35" ht="12.75" customHeight="1" spans="1:9" x14ac:dyDescent="0.25">
      <c r="A35" s="79" t="s">
        <v>34</v>
      </c>
      <c r="B35" s="77"/>
      <c r="C35" s="77"/>
      <c r="D35" s="4"/>
      <c r="E35" s="4"/>
      <c r="F35" s="74" t="s">
        <v>35</v>
      </c>
      <c r="G35" s="74"/>
      <c r="H35" s="80">
        <f>SUM(H32:H34)</f>
        <v>5614.4</v>
      </c>
      <c r="I35" s="30"/>
    </row>
    <row r="36" ht="12.75" customHeight="1" spans="1:9" x14ac:dyDescent="0.25">
      <c r="A36" s="79" t="s">
        <v>36</v>
      </c>
      <c r="B36" s="77"/>
      <c r="C36" s="77"/>
      <c r="D36" s="4"/>
      <c r="E36" s="4"/>
      <c r="F36" s="74"/>
      <c r="G36" s="74"/>
      <c r="H36" s="80"/>
      <c r="I36" s="30"/>
    </row>
    <row r="37" ht="11.25" customHeight="1" spans="2:9" x14ac:dyDescent="0.25">
      <c r="B37" s="81"/>
      <c r="C37" s="81"/>
      <c r="D37" s="27" t="s">
        <v>37</v>
      </c>
      <c r="E37" s="81"/>
      <c r="I37" s="30"/>
    </row>
    <row r="38" spans="2:9" x14ac:dyDescent="0.25">
      <c r="B38" s="81"/>
      <c r="C38" s="81"/>
      <c r="D38" s="81"/>
      <c r="E38" s="81"/>
      <c r="F38" s="74"/>
      <c r="G38" s="74"/>
      <c r="H38" s="80"/>
      <c r="I38" s="30"/>
    </row>
    <row r="39" spans="2:9" x14ac:dyDescent="0.25">
      <c r="B39" s="81"/>
      <c r="C39" s="81"/>
      <c r="D39" s="81"/>
      <c r="E39" s="81"/>
      <c r="F39" s="74"/>
      <c r="G39" s="74"/>
      <c r="H39" s="80"/>
      <c r="I39" s="30"/>
    </row>
    <row r="40" ht="12.75" customHeight="1" spans="2:9" x14ac:dyDescent="0.25">
      <c r="B40" s="82"/>
      <c r="C40" s="82"/>
      <c r="D40" s="82"/>
      <c r="E40" s="82"/>
      <c r="H40" s="83"/>
      <c r="I40" s="30"/>
    </row>
    <row r="41" ht="11.25" customHeight="1" spans="2:9" x14ac:dyDescent="0.25">
      <c r="B41" s="82"/>
      <c r="C41" s="82"/>
      <c r="D41" s="82"/>
      <c r="E41" s="82"/>
      <c r="F41" s="82"/>
      <c r="G41" s="82"/>
      <c r="H41" s="82"/>
      <c r="I41" s="30"/>
    </row>
    <row r="42" ht="8.25" customHeight="1" spans="1:9" x14ac:dyDescent="0.25">
      <c r="A42" s="82"/>
      <c r="B42" s="82"/>
      <c r="C42" s="82"/>
      <c r="D42" s="82"/>
      <c r="E42" s="82"/>
      <c r="F42" s="82"/>
      <c r="G42" s="82"/>
      <c r="H42" s="82"/>
      <c r="I42" s="30"/>
    </row>
    <row r="43" ht="14.1" customHeight="1" spans="1:9" x14ac:dyDescent="0.25">
      <c r="A43" s="82"/>
      <c r="B43" s="82"/>
      <c r="C43" s="82"/>
      <c r="D43" s="82"/>
      <c r="E43" s="82"/>
      <c r="F43" s="82"/>
      <c r="G43" s="82"/>
      <c r="H43" s="82"/>
      <c r="I43" s="30"/>
    </row>
    <row r="44" ht="14.1" customHeight="1" spans="6:9" x14ac:dyDescent="0.25">
      <c r="F44" s="82"/>
      <c r="G44" s="82"/>
      <c r="H44" s="82"/>
      <c r="I44" s="30"/>
    </row>
    <row r="45" ht="14.1" customHeight="1" spans="1:9" x14ac:dyDescent="0.25">
      <c r="A45" s="4"/>
      <c r="B45" s="4"/>
      <c r="C45" s="4"/>
      <c r="D45" s="4"/>
      <c r="E45" s="4"/>
      <c r="I45" s="30"/>
    </row>
    <row r="46" ht="14.1" customHeight="1" spans="1:9" x14ac:dyDescent="0.25">
      <c r="A46" s="4"/>
      <c r="B46" s="4"/>
      <c r="C46" s="4"/>
      <c r="D46" s="4"/>
      <c r="E46" s="4"/>
      <c r="F46" s="4"/>
      <c r="G46" s="4"/>
      <c r="H46" s="4"/>
      <c r="I46" s="30"/>
    </row>
    <row r="47" ht="14.1" customHeight="1" spans="1:9" x14ac:dyDescent="0.25">
      <c r="A47" s="4"/>
      <c r="B47" s="4"/>
      <c r="C47" s="4"/>
      <c r="D47" s="4"/>
      <c r="E47" s="4"/>
      <c r="F47" s="4"/>
      <c r="G47" s="4"/>
      <c r="H47" s="4"/>
      <c r="I47" s="30"/>
    </row>
    <row r="48" ht="14.1" customHeight="1" spans="1:9" x14ac:dyDescent="0.25">
      <c r="A48" s="4"/>
      <c r="B48" s="4"/>
      <c r="C48" s="4"/>
      <c r="D48" s="4"/>
      <c r="E48" s="4"/>
      <c r="F48" s="4"/>
      <c r="G48" s="4"/>
      <c r="H48" s="4"/>
      <c r="I48" s="30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30"/>
    </row>
    <row r="50" spans="6:9" x14ac:dyDescent="0.25">
      <c r="F50" s="4"/>
      <c r="G50" s="4"/>
      <c r="H50" s="4"/>
      <c r="I50" s="30"/>
    </row>
  </sheetData>
  <mergeCells count="33">
    <mergeCell ref="A1:B1"/>
    <mergeCell ref="C1:D1"/>
    <mergeCell ref="G1:H1"/>
    <mergeCell ref="C2:D3"/>
    <mergeCell ref="A3:B3"/>
    <mergeCell ref="C4:E4"/>
    <mergeCell ref="A5:B5"/>
    <mergeCell ref="C5:D5"/>
    <mergeCell ref="C6:E6"/>
    <mergeCell ref="A7:B7"/>
    <mergeCell ref="C7:D7"/>
    <mergeCell ref="G7:G8"/>
    <mergeCell ref="H7:H8"/>
    <mergeCell ref="A10:B10"/>
    <mergeCell ref="C10:E10"/>
    <mergeCell ref="C11:E11"/>
    <mergeCell ref="E12:F12"/>
    <mergeCell ref="E15:F17"/>
    <mergeCell ref="A15:A17"/>
    <mergeCell ref="B15:B17"/>
    <mergeCell ref="C15:C17"/>
    <mergeCell ref="D15:D17"/>
    <mergeCell ref="G15:G17"/>
    <mergeCell ref="H15:H17"/>
    <mergeCell ref="E18:F18"/>
    <mergeCell ref="E19:F19"/>
    <mergeCell ref="E27:F27"/>
    <mergeCell ref="E28:F28"/>
    <mergeCell ref="E31:F31"/>
    <mergeCell ref="F32:G32"/>
    <mergeCell ref="F33:G33"/>
    <mergeCell ref="F34:G34"/>
    <mergeCell ref="F35:G35"/>
  </mergeCells>
  <printOptions horizontalCentered="1"/>
  <pageMargins left="0.1968503937007874" right="0.1968503937007874" top="1.7716535433070868" bottom="0" header="0" footer="0"/>
  <pageSetup orientation="portrait" horizontalDpi="4294967295" verticalDpi="300" scale="82" fitToWidth="1" fitToHeight="1" firstPageNumber="1" useFirstPageNumber="1" copies="1"/>
  <headerFooter>
    <oddHeader>&amp;L&amp;9&amp;G&amp;C
&amp;G&amp;R
&amp;"-,Negrita"&amp;9RIF: J-40882759-0
PUERTO ORDAZ, ESTADO BOLÍVAR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K43"/>
  <sheetViews>
    <sheetView workbookViewId="0" zoomScale="100" zoomScaleNormal="100" view="pageBreakPreview">
      <selection activeCell="I12" sqref="I12"/>
    </sheetView>
  </sheetViews>
  <sheetFormatPr defaultRowHeight="15" outlineLevelRow="0" outlineLevelCol="0" x14ac:dyDescent="0.25"/>
  <cols>
    <col min="1" max="1" width="4.7109375" style="1" customWidth="1"/>
    <col min="2" max="2" width="7.140625" style="1" customWidth="1"/>
    <col min="3" max="3" width="5" style="1" customWidth="1"/>
    <col min="4" max="4" width="43.5703125" style="1" customWidth="1"/>
    <col min="5" max="5" width="6.28515625" style="1" customWidth="1"/>
    <col min="6" max="6" width="5.85546875" style="1" customWidth="1"/>
    <col min="7" max="7" width="12.85546875" style="1" customWidth="1"/>
    <col min="8" max="8" width="13" style="1" customWidth="1"/>
    <col min="9" max="9" width="15.140625" customWidth="1"/>
  </cols>
  <sheetData>
    <row r="1" ht="33" customHeight="1" spans="1:8" x14ac:dyDescent="0.25">
      <c r="A1" s="2" t="s">
        <v>0</v>
      </c>
      <c r="B1" s="2"/>
      <c r="C1" s="3" t="s">
        <v>38</v>
      </c>
      <c r="D1" s="3"/>
      <c r="E1" s="4"/>
      <c r="F1" s="4"/>
      <c r="G1" s="5" t="s">
        <v>1</v>
      </c>
      <c r="H1" s="5"/>
    </row>
    <row r="2" ht="12.95" customHeight="1" spans="3:8" x14ac:dyDescent="0.25">
      <c r="C2" s="6"/>
      <c r="D2" s="6"/>
      <c r="E2" s="7"/>
      <c r="F2" s="4"/>
      <c r="G2" s="8" t="s">
        <v>2</v>
      </c>
      <c r="H2" s="8" t="s">
        <v>3</v>
      </c>
    </row>
    <row r="3" ht="12.95" customHeight="1" spans="1:8" x14ac:dyDescent="0.25">
      <c r="A3" s="2" t="s">
        <v>4</v>
      </c>
      <c r="B3" s="2"/>
      <c r="C3" s="9"/>
      <c r="D3" s="9"/>
      <c r="E3" s="10"/>
      <c r="F3" s="4"/>
      <c r="G3" s="11" t="s">
        <v>39</v>
      </c>
      <c r="H3" s="12">
        <v>45893</v>
      </c>
    </row>
    <row r="4" ht="12.95" customHeight="1" spans="3:8" x14ac:dyDescent="0.25">
      <c r="C4" s="13"/>
      <c r="D4" s="13"/>
      <c r="E4" s="13"/>
      <c r="F4" s="4"/>
      <c r="G4" s="8" t="s">
        <v>6</v>
      </c>
      <c r="H4" s="8" t="s">
        <v>7</v>
      </c>
    </row>
    <row r="5" ht="12.95" customHeight="1" spans="1:8" x14ac:dyDescent="0.25">
      <c r="A5" s="2" t="s">
        <v>8</v>
      </c>
      <c r="B5" s="2"/>
      <c r="C5" s="14" t="s">
        <v>40</v>
      </c>
      <c r="D5" s="14"/>
      <c r="E5" s="10"/>
      <c r="F5" s="4"/>
      <c r="G5" s="15" t="s">
        <v>9</v>
      </c>
      <c r="H5" s="16" t="s">
        <v>10</v>
      </c>
    </row>
    <row r="6" ht="12.75" customHeight="1" spans="3:8" x14ac:dyDescent="0.25">
      <c r="C6" s="7"/>
      <c r="D6" s="84"/>
      <c r="E6" s="7"/>
      <c r="F6" s="4"/>
      <c r="G6" s="17" t="s">
        <v>11</v>
      </c>
      <c r="H6" s="17" t="s">
        <v>12</v>
      </c>
    </row>
    <row r="7" ht="12.75" customHeight="1" spans="1:8" x14ac:dyDescent="0.25">
      <c r="A7" s="2" t="s">
        <v>13</v>
      </c>
      <c r="B7" s="2"/>
      <c r="C7" s="85"/>
      <c r="D7" s="84" t="s">
        <v>41</v>
      </c>
      <c r="E7" s="10"/>
      <c r="F7" s="4"/>
      <c r="G7" s="18" t="s">
        <v>14</v>
      </c>
      <c r="H7" s="19" t="s">
        <v>15</v>
      </c>
    </row>
    <row r="8" ht="9" customHeight="1" spans="3:8" x14ac:dyDescent="0.25">
      <c r="C8" s="20"/>
      <c r="D8" s="20"/>
      <c r="E8" s="21"/>
      <c r="F8" s="4"/>
      <c r="G8" s="22"/>
      <c r="H8" s="23"/>
    </row>
    <row r="9" ht="12.95" customHeight="1" spans="3:8" x14ac:dyDescent="0.25">
      <c r="C9" s="24"/>
      <c r="D9" s="24"/>
      <c r="E9" s="24"/>
      <c r="F9" s="4"/>
      <c r="G9" s="25"/>
      <c r="H9" s="25"/>
    </row>
    <row r="10" ht="12.95" customHeight="1" spans="1:8" x14ac:dyDescent="0.25">
      <c r="A10" s="2" t="s">
        <v>16</v>
      </c>
      <c r="B10" s="2"/>
      <c r="C10" s="26" t="s">
        <v>42</v>
      </c>
      <c r="D10" s="26"/>
      <c r="E10" s="26"/>
      <c r="F10" s="4"/>
      <c r="G10" s="27" t="s">
        <v>17</v>
      </c>
      <c r="H10" s="28" t="str">
        <f>+G3</f>
        <v>C.C. 25 -0002</v>
      </c>
    </row>
    <row r="11" ht="12.95" customHeight="1" spans="1:9" x14ac:dyDescent="0.25">
      <c r="A11" s="29"/>
      <c r="B11" s="29"/>
      <c r="C11" s="10"/>
      <c r="D11" s="10"/>
      <c r="E11" s="10"/>
      <c r="F11" s="4"/>
      <c r="G11" s="4"/>
      <c r="H11" s="4"/>
      <c r="I11" s="30"/>
    </row>
    <row r="12" ht="22.5" customHeight="1" spans="1:9" x14ac:dyDescent="0.25">
      <c r="A12" s="31" t="s">
        <v>18</v>
      </c>
      <c r="B12" s="31" t="s">
        <v>19</v>
      </c>
      <c r="C12" s="31" t="s">
        <v>20</v>
      </c>
      <c r="D12" s="31" t="s">
        <v>21</v>
      </c>
      <c r="E12" s="32" t="s">
        <v>22</v>
      </c>
      <c r="F12" s="33"/>
      <c r="G12" s="34" t="s">
        <v>23</v>
      </c>
      <c r="H12" s="34" t="s">
        <v>24</v>
      </c>
      <c r="I12" s="35"/>
    </row>
    <row r="13" spans="1:9" x14ac:dyDescent="0.25">
      <c r="A13" s="36"/>
      <c r="B13" s="6"/>
      <c r="C13" s="36"/>
      <c r="D13" s="37" t="s">
        <v>25</v>
      </c>
      <c r="E13" s="38"/>
      <c r="F13" s="39"/>
      <c r="G13" s="40"/>
      <c r="H13" s="41"/>
      <c r="I13" s="30"/>
    </row>
    <row r="14" spans="1:9" x14ac:dyDescent="0.25">
      <c r="A14" s="42"/>
      <c r="B14" s="43"/>
      <c r="C14" s="42"/>
      <c r="D14" s="44"/>
      <c r="E14" s="45"/>
      <c r="F14" s="46"/>
      <c r="G14" s="47"/>
      <c r="H14" s="48"/>
      <c r="I14" s="30"/>
    </row>
    <row r="15" ht="15" customHeight="1" spans="1:9" x14ac:dyDescent="0.25">
      <c r="A15" s="49">
        <v>1</v>
      </c>
      <c r="B15" s="49">
        <v>26</v>
      </c>
      <c r="C15" s="49" t="s">
        <v>26</v>
      </c>
      <c r="D15" s="50" t="s">
        <v>43</v>
      </c>
      <c r="E15" s="51">
        <v>210</v>
      </c>
      <c r="F15" s="52"/>
      <c r="G15" s="53">
        <v>200</v>
      </c>
      <c r="H15" s="54">
        <f>G15*B15</f>
        <v>5200</v>
      </c>
      <c r="I15" s="30"/>
    </row>
    <row r="16" spans="1:9" x14ac:dyDescent="0.25">
      <c r="A16" s="49"/>
      <c r="B16" s="49"/>
      <c r="C16" s="49"/>
      <c r="D16" s="50"/>
      <c r="E16" s="51"/>
      <c r="F16" s="52"/>
      <c r="G16" s="53"/>
      <c r="H16" s="54"/>
      <c r="I16" s="30"/>
    </row>
    <row r="17" ht="22.5" customHeight="1" spans="1:9" x14ac:dyDescent="0.25">
      <c r="A17" s="49"/>
      <c r="B17" s="49"/>
      <c r="C17" s="49"/>
      <c r="D17" s="50"/>
      <c r="E17" s="51"/>
      <c r="F17" s="52"/>
      <c r="G17" s="53"/>
      <c r="H17" s="54"/>
      <c r="I17" s="30"/>
    </row>
    <row r="18" ht="12" customHeight="1" spans="1:9" x14ac:dyDescent="0.25">
      <c r="A18" s="86">
        <v>2</v>
      </c>
      <c r="B18" s="86">
        <v>40</v>
      </c>
      <c r="C18" s="86" t="s">
        <v>44</v>
      </c>
      <c r="D18" s="87" t="s">
        <v>45</v>
      </c>
      <c r="E18" s="88"/>
      <c r="F18" s="89"/>
      <c r="G18" s="90">
        <v>15</v>
      </c>
      <c r="H18" s="91">
        <f>G18*B18</f>
        <v>600</v>
      </c>
      <c r="I18" s="30"/>
    </row>
    <row r="19" spans="1:9" x14ac:dyDescent="0.25">
      <c r="A19" s="42"/>
      <c r="B19" s="43"/>
      <c r="C19" s="42"/>
      <c r="E19" s="56"/>
      <c r="F19" s="57"/>
      <c r="G19" s="43"/>
      <c r="H19" s="92"/>
      <c r="I19" s="30"/>
    </row>
    <row r="20" spans="1:9" x14ac:dyDescent="0.25">
      <c r="A20" s="42">
        <v>3</v>
      </c>
      <c r="B20" s="43">
        <v>1</v>
      </c>
      <c r="C20" s="42" t="s">
        <v>44</v>
      </c>
      <c r="D20" s="93" t="s">
        <v>46</v>
      </c>
      <c r="E20" s="94">
        <v>1</v>
      </c>
      <c r="F20" s="95"/>
      <c r="G20" s="43">
        <v>800</v>
      </c>
      <c r="H20" s="92">
        <f t="shared" ref="H20" si="0">G20*B20</f>
        <v>800</v>
      </c>
      <c r="I20" s="30"/>
    </row>
    <row r="21" ht="15" customHeight="1" spans="1:9" x14ac:dyDescent="0.25">
      <c r="A21" s="96"/>
      <c r="B21" s="97"/>
      <c r="C21" s="96"/>
      <c r="D21" s="98" t="s">
        <v>43</v>
      </c>
      <c r="E21" s="99"/>
      <c r="F21" s="99"/>
      <c r="G21" s="96"/>
      <c r="H21" s="91"/>
      <c r="I21" s="30"/>
    </row>
    <row r="22" ht="15" customHeight="1" spans="1:9" x14ac:dyDescent="0.25">
      <c r="A22" s="96">
        <v>4</v>
      </c>
      <c r="B22" s="97">
        <v>14</v>
      </c>
      <c r="C22" s="96" t="s">
        <v>26</v>
      </c>
      <c r="D22" s="98"/>
      <c r="E22" s="100">
        <v>210</v>
      </c>
      <c r="F22" s="101"/>
      <c r="G22" s="86">
        <v>245</v>
      </c>
      <c r="H22" s="102">
        <f>G22*B22</f>
        <v>3430</v>
      </c>
      <c r="I22" s="30"/>
    </row>
    <row r="23" spans="1:9" x14ac:dyDescent="0.25">
      <c r="A23" s="96"/>
      <c r="B23" s="97"/>
      <c r="C23" s="96"/>
      <c r="D23" s="98"/>
      <c r="E23" s="100"/>
      <c r="F23" s="101"/>
      <c r="G23" s="86"/>
      <c r="H23" s="102"/>
      <c r="I23" s="30"/>
    </row>
    <row r="24" spans="1:9" x14ac:dyDescent="0.25">
      <c r="A24" s="103"/>
      <c r="B24" s="104"/>
      <c r="C24" s="103"/>
      <c r="D24" s="105"/>
      <c r="E24" s="104"/>
      <c r="F24" s="106"/>
      <c r="G24" s="104"/>
      <c r="H24" s="107"/>
      <c r="I24" s="30"/>
    </row>
    <row r="25" spans="1:9" x14ac:dyDescent="0.25">
      <c r="A25" s="73" t="s">
        <v>28</v>
      </c>
      <c r="B25" s="4"/>
      <c r="C25" s="4"/>
      <c r="D25" s="55"/>
      <c r="E25" s="4"/>
      <c r="F25" s="74" t="s">
        <v>29</v>
      </c>
      <c r="G25" s="74"/>
      <c r="H25" s="75">
        <f>SUM(H13:H24)</f>
        <v>10030</v>
      </c>
      <c r="I25" s="30"/>
    </row>
    <row r="26" ht="11.25" customHeight="1" spans="1:11" x14ac:dyDescent="0.25">
      <c r="A26" s="76"/>
      <c r="B26" s="77"/>
      <c r="C26" s="77"/>
      <c r="D26" s="4"/>
      <c r="E26" s="4"/>
      <c r="F26" s="74" t="s">
        <v>31</v>
      </c>
      <c r="G26" s="74"/>
      <c r="H26" s="78"/>
      <c r="I26" s="30"/>
      <c r="K26">
        <f>26+8</f>
        <v>34</v>
      </c>
    </row>
    <row r="27" ht="12.75" customHeight="1" spans="1:9" x14ac:dyDescent="0.25">
      <c r="A27" s="79"/>
      <c r="B27" s="77"/>
      <c r="C27" s="77"/>
      <c r="D27" s="4"/>
      <c r="E27" s="4"/>
      <c r="F27" s="74" t="s">
        <v>33</v>
      </c>
      <c r="G27" s="74"/>
      <c r="H27" s="78">
        <v>0</v>
      </c>
      <c r="I27" s="30"/>
    </row>
    <row r="28" ht="12.75" customHeight="1" spans="1:9" x14ac:dyDescent="0.25">
      <c r="A28" s="79"/>
      <c r="B28" s="77"/>
      <c r="C28" s="77"/>
      <c r="D28" s="4"/>
      <c r="E28" s="4"/>
      <c r="F28" s="74" t="s">
        <v>35</v>
      </c>
      <c r="G28" s="74"/>
      <c r="H28" s="80">
        <f>SUM(H25:H27)</f>
        <v>10030</v>
      </c>
      <c r="I28" s="30"/>
    </row>
    <row r="29" ht="12.75" customHeight="1" spans="1:9" x14ac:dyDescent="0.25">
      <c r="A29" s="79"/>
      <c r="B29" s="77"/>
      <c r="C29" s="77"/>
      <c r="D29" s="4"/>
      <c r="E29" s="4"/>
      <c r="F29" s="74"/>
      <c r="G29" s="74"/>
      <c r="H29" s="80"/>
      <c r="I29" s="30"/>
    </row>
    <row r="30" ht="11.25" customHeight="1" spans="2:9" x14ac:dyDescent="0.25">
      <c r="B30" s="81"/>
      <c r="C30" s="81"/>
      <c r="D30" s="27" t="s">
        <v>37</v>
      </c>
      <c r="E30" s="81"/>
      <c r="I30" s="30"/>
    </row>
    <row r="31" spans="2:9" x14ac:dyDescent="0.25">
      <c r="B31" s="81"/>
      <c r="C31" s="81"/>
      <c r="D31" s="81"/>
      <c r="E31" s="81"/>
      <c r="F31" s="74"/>
      <c r="G31" s="74"/>
      <c r="H31" s="80"/>
      <c r="I31" s="30"/>
    </row>
    <row r="32" spans="2:9" x14ac:dyDescent="0.25">
      <c r="B32" s="81"/>
      <c r="C32" s="81"/>
      <c r="D32" s="81"/>
      <c r="E32" s="81"/>
      <c r="F32" s="74"/>
      <c r="G32" s="74"/>
      <c r="H32" s="80"/>
      <c r="I32" s="30"/>
    </row>
    <row r="33" ht="12.75" customHeight="1" spans="2:9" x14ac:dyDescent="0.25">
      <c r="B33" s="82"/>
      <c r="C33" s="82"/>
      <c r="D33" s="82"/>
      <c r="E33" s="82"/>
      <c r="H33" s="83"/>
      <c r="I33" s="30"/>
    </row>
    <row r="34" ht="11.25" customHeight="1" spans="2:9" x14ac:dyDescent="0.25">
      <c r="B34" s="82"/>
      <c r="C34" s="82"/>
      <c r="D34" s="82"/>
      <c r="E34" s="82"/>
      <c r="F34" s="82"/>
      <c r="G34" s="82"/>
      <c r="H34" s="82"/>
      <c r="I34" s="30"/>
    </row>
    <row r="35" ht="8.25" customHeight="1" spans="1:9" x14ac:dyDescent="0.25">
      <c r="A35" s="82"/>
      <c r="B35" s="82"/>
      <c r="C35" s="82"/>
      <c r="D35" s="82"/>
      <c r="E35" s="82"/>
      <c r="F35" s="82"/>
      <c r="G35" s="82"/>
      <c r="H35" s="82"/>
      <c r="I35" s="30"/>
    </row>
    <row r="36" ht="14.1" customHeight="1" spans="1:9" x14ac:dyDescent="0.25">
      <c r="A36" s="82"/>
      <c r="B36" s="82"/>
      <c r="C36" s="82"/>
      <c r="D36" s="82"/>
      <c r="E36" s="82"/>
      <c r="F36" s="82"/>
      <c r="G36" s="82"/>
      <c r="H36" s="82"/>
      <c r="I36" s="30"/>
    </row>
    <row r="37" ht="14.1" customHeight="1" spans="6:9" x14ac:dyDescent="0.25">
      <c r="F37" s="82"/>
      <c r="G37" s="82"/>
      <c r="H37" s="82"/>
      <c r="I37" s="30"/>
    </row>
    <row r="38" ht="14.1" customHeight="1" spans="1:9" x14ac:dyDescent="0.25">
      <c r="A38" s="4"/>
      <c r="B38" s="4"/>
      <c r="C38" s="4"/>
      <c r="D38" s="4"/>
      <c r="E38" s="4"/>
      <c r="I38" s="30"/>
    </row>
    <row r="39" ht="14.1" customHeight="1" spans="1:9" x14ac:dyDescent="0.25">
      <c r="A39" s="4"/>
      <c r="B39" s="4"/>
      <c r="C39" s="4"/>
      <c r="D39" s="4"/>
      <c r="E39" s="4"/>
      <c r="F39" s="4"/>
      <c r="G39" s="4"/>
      <c r="H39" s="4"/>
      <c r="I39" s="30"/>
    </row>
    <row r="40" ht="14.1" customHeight="1" spans="1:9" x14ac:dyDescent="0.25">
      <c r="A40" s="4"/>
      <c r="B40" s="4"/>
      <c r="C40" s="4"/>
      <c r="D40" s="4"/>
      <c r="E40" s="4"/>
      <c r="F40" s="4"/>
      <c r="G40" s="4"/>
      <c r="H40" s="4"/>
      <c r="I40" s="30"/>
    </row>
    <row r="41" ht="14.1" customHeight="1" spans="1:9" x14ac:dyDescent="0.25">
      <c r="A41" s="4"/>
      <c r="B41" s="4"/>
      <c r="C41" s="4"/>
      <c r="D41" s="4"/>
      <c r="E41" s="4"/>
      <c r="F41" s="4"/>
      <c r="G41" s="4"/>
      <c r="H41" s="4"/>
      <c r="I41" s="30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30"/>
    </row>
    <row r="43" spans="6:9" x14ac:dyDescent="0.25">
      <c r="F43" s="4"/>
      <c r="G43" s="4"/>
      <c r="H43" s="4"/>
      <c r="I43" s="30"/>
    </row>
  </sheetData>
  <mergeCells count="33">
    <mergeCell ref="A1:B1"/>
    <mergeCell ref="C1:D1"/>
    <mergeCell ref="G1:H1"/>
    <mergeCell ref="C2:D3"/>
    <mergeCell ref="A3:B3"/>
    <mergeCell ref="C4:E4"/>
    <mergeCell ref="A5:B5"/>
    <mergeCell ref="C5:D5"/>
    <mergeCell ref="A7:B7"/>
    <mergeCell ref="G7:G8"/>
    <mergeCell ref="H7:H8"/>
    <mergeCell ref="A10:B10"/>
    <mergeCell ref="C10:E10"/>
    <mergeCell ref="C11:E11"/>
    <mergeCell ref="E12:F12"/>
    <mergeCell ref="E15:F17"/>
    <mergeCell ref="A15:A17"/>
    <mergeCell ref="B15:B17"/>
    <mergeCell ref="C15:C17"/>
    <mergeCell ref="D15:D17"/>
    <mergeCell ref="G15:G17"/>
    <mergeCell ref="H15:H17"/>
    <mergeCell ref="E18:F18"/>
    <mergeCell ref="E20:F20"/>
    <mergeCell ref="D21:D24"/>
    <mergeCell ref="E22:F23"/>
    <mergeCell ref="G22:G23"/>
    <mergeCell ref="H22:H23"/>
    <mergeCell ref="E24:F24"/>
    <mergeCell ref="F25:G25"/>
    <mergeCell ref="F26:G26"/>
    <mergeCell ref="F27:G27"/>
    <mergeCell ref="F28:G28"/>
  </mergeCells>
  <printOptions horizontalCentered="1"/>
  <pageMargins left="0.1968503937007874" right="0.1968503937007874" top="1.7716535433070868" bottom="0" header="0" footer="0"/>
  <pageSetup orientation="portrait" horizontalDpi="4294967295" verticalDpi="300" scale="82" fitToWidth="1" fitToHeight="1" firstPageNumber="1" useFirstPageNumber="1" copies="1"/>
  <headerFooter>
    <oddHeader>&amp;L&amp;9&amp;G&amp;C
&amp;G&amp;R
&amp;"-,Negrita"&amp;9RIF: J-40882759-0
PUERTO ORDAZ, ESTADO BOLÍVAR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I40"/>
  <sheetViews>
    <sheetView workbookViewId="0" zoomScale="100" zoomScaleNormal="100" view="pageBreakPreview">
      <selection activeCell="D19" sqref="D19"/>
    </sheetView>
  </sheetViews>
  <sheetFormatPr defaultRowHeight="15" outlineLevelRow="0" outlineLevelCol="0" x14ac:dyDescent="0.25"/>
  <cols>
    <col min="1" max="1" width="4.7109375" style="1" customWidth="1"/>
    <col min="2" max="2" width="7.140625" style="1" customWidth="1"/>
    <col min="3" max="3" width="5" style="1" customWidth="1"/>
    <col min="4" max="4" width="43.5703125" style="1" customWidth="1"/>
    <col min="5" max="5" width="6.28515625" style="1" customWidth="1"/>
    <col min="6" max="6" width="5.85546875" style="1" customWidth="1"/>
    <col min="7" max="7" width="12.85546875" style="1" customWidth="1"/>
    <col min="8" max="8" width="13" style="1" customWidth="1"/>
    <col min="9" max="9" width="15.140625" customWidth="1"/>
  </cols>
  <sheetData>
    <row r="1" ht="33" customHeight="1" spans="1:8" x14ac:dyDescent="0.25">
      <c r="A1" s="2" t="s">
        <v>0</v>
      </c>
      <c r="B1" s="2"/>
      <c r="C1" s="3" t="s">
        <v>47</v>
      </c>
      <c r="D1" s="3"/>
      <c r="E1" s="4"/>
      <c r="F1" s="4"/>
      <c r="G1" s="5" t="s">
        <v>1</v>
      </c>
      <c r="H1" s="5"/>
    </row>
    <row r="2" ht="12.95" customHeight="1" spans="3:8" x14ac:dyDescent="0.25">
      <c r="C2" s="6"/>
      <c r="D2" s="6"/>
      <c r="E2" s="7"/>
      <c r="F2" s="4"/>
      <c r="G2" s="8" t="s">
        <v>2</v>
      </c>
      <c r="H2" s="8" t="s">
        <v>3</v>
      </c>
    </row>
    <row r="3" ht="12.95" customHeight="1" spans="1:8" x14ac:dyDescent="0.25">
      <c r="A3" s="2" t="s">
        <v>4</v>
      </c>
      <c r="B3" s="2"/>
      <c r="C3" s="9"/>
      <c r="D3" s="9"/>
      <c r="E3" s="10"/>
      <c r="F3" s="4"/>
      <c r="G3" s="11" t="s">
        <v>48</v>
      </c>
      <c r="H3" s="12">
        <v>45838</v>
      </c>
    </row>
    <row r="4" ht="12.95" customHeight="1" spans="3:8" x14ac:dyDescent="0.25">
      <c r="C4" s="13"/>
      <c r="D4" s="13"/>
      <c r="E4" s="13"/>
      <c r="F4" s="4"/>
      <c r="G4" s="8" t="s">
        <v>6</v>
      </c>
      <c r="H4" s="8" t="s">
        <v>7</v>
      </c>
    </row>
    <row r="5" ht="12.95" customHeight="1" spans="1:8" x14ac:dyDescent="0.25">
      <c r="A5" s="2" t="s">
        <v>8</v>
      </c>
      <c r="B5" s="2"/>
      <c r="C5" s="14"/>
      <c r="D5" s="14"/>
      <c r="E5" s="10"/>
      <c r="F5" s="4"/>
      <c r="G5" s="15" t="s">
        <v>9</v>
      </c>
      <c r="H5" s="16" t="s">
        <v>10</v>
      </c>
    </row>
    <row r="6" ht="12.75" customHeight="1" spans="3:8" x14ac:dyDescent="0.25">
      <c r="C6" s="7"/>
      <c r="D6" s="84"/>
      <c r="E6" s="7"/>
      <c r="F6" s="4"/>
      <c r="G6" s="17" t="s">
        <v>11</v>
      </c>
      <c r="H6" s="17" t="s">
        <v>12</v>
      </c>
    </row>
    <row r="7" ht="12.75" customHeight="1" spans="1:8" x14ac:dyDescent="0.25">
      <c r="A7" s="2" t="s">
        <v>13</v>
      </c>
      <c r="B7" s="2"/>
      <c r="C7" s="85"/>
      <c r="D7" s="84" t="s">
        <v>41</v>
      </c>
      <c r="E7" s="10"/>
      <c r="F7" s="4"/>
      <c r="G7" s="18" t="s">
        <v>14</v>
      </c>
      <c r="H7" s="19" t="s">
        <v>15</v>
      </c>
    </row>
    <row r="8" ht="9" customHeight="1" spans="3:8" x14ac:dyDescent="0.25">
      <c r="C8" s="20"/>
      <c r="D8" s="20"/>
      <c r="E8" s="21"/>
      <c r="F8" s="4"/>
      <c r="G8" s="22"/>
      <c r="H8" s="23"/>
    </row>
    <row r="9" ht="12.95" customHeight="1" spans="3:8" x14ac:dyDescent="0.25">
      <c r="C9" s="24"/>
      <c r="D9" s="24"/>
      <c r="E9" s="24"/>
      <c r="F9" s="4"/>
      <c r="G9" s="25"/>
      <c r="H9" s="25"/>
    </row>
    <row r="10" ht="12.95" customHeight="1" spans="1:8" x14ac:dyDescent="0.25">
      <c r="A10" s="2" t="s">
        <v>16</v>
      </c>
      <c r="B10" s="2"/>
      <c r="C10" s="26" t="s">
        <v>42</v>
      </c>
      <c r="D10" s="26"/>
      <c r="E10" s="26"/>
      <c r="F10" s="4"/>
      <c r="G10" s="27" t="s">
        <v>17</v>
      </c>
      <c r="H10" s="28" t="str">
        <f>+G3</f>
        <v>C.C. 25 -0003</v>
      </c>
    </row>
    <row r="11" ht="12.95" customHeight="1" spans="1:9" x14ac:dyDescent="0.25">
      <c r="A11" s="29"/>
      <c r="B11" s="29"/>
      <c r="C11" s="10"/>
      <c r="D11" s="10"/>
      <c r="E11" s="10"/>
      <c r="F11" s="4"/>
      <c r="G11" s="4"/>
      <c r="H11" s="4"/>
      <c r="I11" s="30"/>
    </row>
    <row r="12" ht="22.5" customHeight="1" spans="1:9" x14ac:dyDescent="0.25">
      <c r="A12" s="31" t="s">
        <v>18</v>
      </c>
      <c r="B12" s="31" t="s">
        <v>19</v>
      </c>
      <c r="C12" s="31" t="s">
        <v>20</v>
      </c>
      <c r="D12" s="31" t="s">
        <v>21</v>
      </c>
      <c r="E12" s="32" t="s">
        <v>22</v>
      </c>
      <c r="F12" s="33"/>
      <c r="G12" s="34" t="s">
        <v>23</v>
      </c>
      <c r="H12" s="34" t="s">
        <v>24</v>
      </c>
      <c r="I12" s="35"/>
    </row>
    <row r="13" spans="1:9" x14ac:dyDescent="0.25">
      <c r="A13" s="36"/>
      <c r="B13" s="6"/>
      <c r="C13" s="36"/>
      <c r="D13" s="37" t="s">
        <v>25</v>
      </c>
      <c r="E13" s="38"/>
      <c r="F13" s="39"/>
      <c r="G13" s="40"/>
      <c r="H13" s="41"/>
      <c r="I13" s="30"/>
    </row>
    <row r="14" spans="1:9" x14ac:dyDescent="0.25">
      <c r="A14" s="42"/>
      <c r="B14" s="43"/>
      <c r="C14" s="42"/>
      <c r="D14" s="44"/>
      <c r="E14" s="45"/>
      <c r="F14" s="46"/>
      <c r="G14" s="47"/>
      <c r="H14" s="48"/>
      <c r="I14" s="30"/>
    </row>
    <row r="15" ht="15" customHeight="1" spans="1:9" x14ac:dyDescent="0.25">
      <c r="A15" s="49">
        <v>1</v>
      </c>
      <c r="B15" s="49">
        <v>12</v>
      </c>
      <c r="C15" s="49" t="s">
        <v>26</v>
      </c>
      <c r="D15" s="50" t="s">
        <v>43</v>
      </c>
      <c r="E15" s="51">
        <v>210</v>
      </c>
      <c r="F15" s="52"/>
      <c r="G15" s="53">
        <v>200</v>
      </c>
      <c r="H15" s="54">
        <f>G15*B15</f>
        <v>2400</v>
      </c>
      <c r="I15" s="30"/>
    </row>
    <row r="16" spans="1:9" x14ac:dyDescent="0.25">
      <c r="A16" s="49"/>
      <c r="B16" s="49"/>
      <c r="C16" s="49"/>
      <c r="D16" s="50"/>
      <c r="E16" s="51"/>
      <c r="F16" s="52"/>
      <c r="G16" s="53"/>
      <c r="H16" s="54"/>
      <c r="I16" s="30"/>
    </row>
    <row r="17" ht="22.5" customHeight="1" spans="1:9" x14ac:dyDescent="0.25">
      <c r="A17" s="49"/>
      <c r="B17" s="49"/>
      <c r="C17" s="49"/>
      <c r="D17" s="50"/>
      <c r="E17" s="51"/>
      <c r="F17" s="52"/>
      <c r="G17" s="53"/>
      <c r="H17" s="54"/>
      <c r="I17" s="30"/>
    </row>
    <row r="18" ht="12" customHeight="1" spans="1:9" x14ac:dyDescent="0.25">
      <c r="A18" s="49"/>
      <c r="B18" s="49"/>
      <c r="C18" s="49"/>
      <c r="D18" s="55"/>
      <c r="E18" s="56"/>
      <c r="F18" s="57"/>
      <c r="G18" s="53"/>
      <c r="H18" s="92"/>
      <c r="I18" s="30"/>
    </row>
    <row r="19" spans="1:9" x14ac:dyDescent="0.25">
      <c r="A19" s="42"/>
      <c r="B19" s="43"/>
      <c r="C19" s="42"/>
      <c r="E19" s="56"/>
      <c r="F19" s="57"/>
      <c r="G19" s="43"/>
      <c r="H19" s="92"/>
      <c r="I19" s="30"/>
    </row>
    <row r="20" spans="1:9" x14ac:dyDescent="0.25">
      <c r="A20" s="42"/>
      <c r="B20" s="43"/>
      <c r="C20" s="42"/>
      <c r="D20" s="93"/>
      <c r="E20" s="1"/>
      <c r="F20" s="1"/>
      <c r="G20" s="43"/>
      <c r="H20" s="92"/>
      <c r="I20" s="30"/>
    </row>
    <row r="21" spans="1:9" x14ac:dyDescent="0.25">
      <c r="A21" s="69"/>
      <c r="B21" s="9"/>
      <c r="C21" s="69"/>
      <c r="D21" s="70"/>
      <c r="E21" s="71"/>
      <c r="F21" s="72"/>
      <c r="G21" s="9"/>
      <c r="H21" s="108"/>
      <c r="I21" s="30"/>
    </row>
    <row r="22" spans="1:9" x14ac:dyDescent="0.25">
      <c r="A22" s="73" t="s">
        <v>28</v>
      </c>
      <c r="B22" s="4"/>
      <c r="C22" s="4"/>
      <c r="D22" s="4"/>
      <c r="E22" s="4"/>
      <c r="F22" s="74" t="s">
        <v>29</v>
      </c>
      <c r="G22" s="74"/>
      <c r="H22" s="75">
        <f>SUM(H13:H21)</f>
        <v>2400</v>
      </c>
      <c r="I22" s="30"/>
    </row>
    <row r="23" ht="11.25" customHeight="1" spans="1:9" x14ac:dyDescent="0.25">
      <c r="A23" s="76"/>
      <c r="B23" s="77"/>
      <c r="C23" s="77"/>
      <c r="D23" s="4"/>
      <c r="E23" s="4"/>
      <c r="F23" s="74" t="s">
        <v>31</v>
      </c>
      <c r="G23" s="74"/>
      <c r="H23" s="78"/>
      <c r="I23" s="30"/>
    </row>
    <row r="24" ht="12.75" customHeight="1" spans="1:9" x14ac:dyDescent="0.25">
      <c r="A24" s="79"/>
      <c r="B24" s="77"/>
      <c r="C24" s="77"/>
      <c r="D24" s="4"/>
      <c r="E24" s="4"/>
      <c r="F24" s="74" t="s">
        <v>33</v>
      </c>
      <c r="G24" s="74"/>
      <c r="H24" s="78">
        <v>0</v>
      </c>
      <c r="I24" s="30"/>
    </row>
    <row r="25" ht="12.75" customHeight="1" spans="1:9" x14ac:dyDescent="0.25">
      <c r="A25" s="79"/>
      <c r="B25" s="77"/>
      <c r="C25" s="77"/>
      <c r="D25" s="4"/>
      <c r="E25" s="4"/>
      <c r="F25" s="74" t="s">
        <v>35</v>
      </c>
      <c r="G25" s="74"/>
      <c r="H25" s="80">
        <f>SUM(H22:H24)</f>
        <v>2400</v>
      </c>
      <c r="I25" s="30"/>
    </row>
    <row r="26" ht="12.75" customHeight="1" spans="1:9" x14ac:dyDescent="0.25">
      <c r="A26" s="79"/>
      <c r="B26" s="77"/>
      <c r="C26" s="77"/>
      <c r="D26" s="4"/>
      <c r="E26" s="4"/>
      <c r="F26" s="74"/>
      <c r="G26" s="74"/>
      <c r="H26" s="80"/>
      <c r="I26" s="30"/>
    </row>
    <row r="27" ht="11.25" customHeight="1" spans="2:9" x14ac:dyDescent="0.25">
      <c r="B27" s="81"/>
      <c r="C27" s="81"/>
      <c r="D27" s="27" t="s">
        <v>37</v>
      </c>
      <c r="E27" s="81"/>
      <c r="I27" s="30"/>
    </row>
    <row r="28" spans="2:9" x14ac:dyDescent="0.25">
      <c r="B28" s="81"/>
      <c r="C28" s="81"/>
      <c r="D28" s="81"/>
      <c r="E28" s="81"/>
      <c r="F28" s="74"/>
      <c r="G28" s="74"/>
      <c r="H28" s="80"/>
      <c r="I28" s="30"/>
    </row>
    <row r="29" spans="2:9" x14ac:dyDescent="0.25">
      <c r="B29" s="81"/>
      <c r="C29" s="81"/>
      <c r="D29" s="81"/>
      <c r="E29" s="81"/>
      <c r="F29" s="74"/>
      <c r="G29" s="74"/>
      <c r="H29" s="80"/>
      <c r="I29" s="30"/>
    </row>
    <row r="30" ht="12.75" customHeight="1" spans="2:9" x14ac:dyDescent="0.25">
      <c r="B30" s="82"/>
      <c r="C30" s="82"/>
      <c r="D30" s="82"/>
      <c r="E30" s="82"/>
      <c r="H30" s="83"/>
      <c r="I30" s="30"/>
    </row>
    <row r="31" ht="11.25" customHeight="1" spans="2:9" x14ac:dyDescent="0.25">
      <c r="B31" s="82"/>
      <c r="C31" s="82"/>
      <c r="D31" s="82"/>
      <c r="E31" s="82"/>
      <c r="F31" s="82"/>
      <c r="G31" s="82"/>
      <c r="H31" s="82"/>
      <c r="I31" s="30"/>
    </row>
    <row r="32" ht="8.25" customHeight="1" spans="1:9" x14ac:dyDescent="0.25">
      <c r="A32" s="82"/>
      <c r="B32" s="82"/>
      <c r="C32" s="82"/>
      <c r="D32" s="82"/>
      <c r="E32" s="82"/>
      <c r="F32" s="82"/>
      <c r="G32" s="82"/>
      <c r="H32" s="82"/>
      <c r="I32" s="30"/>
    </row>
    <row r="33" ht="14.1" customHeight="1" spans="1:9" x14ac:dyDescent="0.25">
      <c r="A33" s="82"/>
      <c r="B33" s="82"/>
      <c r="C33" s="82"/>
      <c r="D33" s="82"/>
      <c r="E33" s="82"/>
      <c r="F33" s="82"/>
      <c r="G33" s="82"/>
      <c r="H33" s="82"/>
      <c r="I33" s="30"/>
    </row>
    <row r="34" ht="14.1" customHeight="1" spans="6:9" x14ac:dyDescent="0.25">
      <c r="F34" s="82"/>
      <c r="G34" s="82"/>
      <c r="H34" s="82"/>
      <c r="I34" s="30"/>
    </row>
    <row r="35" ht="14.1" customHeight="1" spans="1:9" x14ac:dyDescent="0.25">
      <c r="A35" s="4"/>
      <c r="B35" s="4"/>
      <c r="C35" s="4"/>
      <c r="D35" s="4"/>
      <c r="E35" s="4"/>
      <c r="I35" s="30"/>
    </row>
    <row r="36" ht="14.1" customHeight="1" spans="1:9" x14ac:dyDescent="0.25">
      <c r="A36" s="4"/>
      <c r="B36" s="4"/>
      <c r="C36" s="4"/>
      <c r="D36" s="4"/>
      <c r="E36" s="4"/>
      <c r="F36" s="4"/>
      <c r="G36" s="4"/>
      <c r="H36" s="4"/>
      <c r="I36" s="30"/>
    </row>
    <row r="37" ht="14.1" customHeight="1" spans="1:9" x14ac:dyDescent="0.25">
      <c r="A37" s="4"/>
      <c r="B37" s="4"/>
      <c r="C37" s="4"/>
      <c r="D37" s="4"/>
      <c r="E37" s="4"/>
      <c r="F37" s="4"/>
      <c r="G37" s="4"/>
      <c r="H37" s="4"/>
      <c r="I37" s="30"/>
    </row>
    <row r="38" ht="14.1" customHeight="1" spans="1:9" x14ac:dyDescent="0.25">
      <c r="A38" s="4"/>
      <c r="B38" s="4"/>
      <c r="C38" s="4"/>
      <c r="D38" s="4"/>
      <c r="E38" s="4"/>
      <c r="F38" s="4"/>
      <c r="G38" s="4"/>
      <c r="H38" s="4"/>
      <c r="I38" s="30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30"/>
    </row>
    <row r="40" spans="6:9" x14ac:dyDescent="0.25">
      <c r="F40" s="4"/>
      <c r="G40" s="4"/>
      <c r="H40" s="4"/>
      <c r="I40" s="30"/>
    </row>
  </sheetData>
  <mergeCells count="29">
    <mergeCell ref="A1:B1"/>
    <mergeCell ref="C1:D1"/>
    <mergeCell ref="G1:H1"/>
    <mergeCell ref="C2:D3"/>
    <mergeCell ref="A3:B3"/>
    <mergeCell ref="C4:E4"/>
    <mergeCell ref="A5:B5"/>
    <mergeCell ref="C5:D5"/>
    <mergeCell ref="A7:B7"/>
    <mergeCell ref="G7:G8"/>
    <mergeCell ref="H7:H8"/>
    <mergeCell ref="A10:B10"/>
    <mergeCell ref="C10:E10"/>
    <mergeCell ref="C11:E11"/>
    <mergeCell ref="E12:F12"/>
    <mergeCell ref="E15:F17"/>
    <mergeCell ref="A15:A17"/>
    <mergeCell ref="B15:B17"/>
    <mergeCell ref="C15:C17"/>
    <mergeCell ref="D15:D17"/>
    <mergeCell ref="G15:G17"/>
    <mergeCell ref="H15:H17"/>
    <mergeCell ref="E18:F18"/>
    <mergeCell ref="E20:F20"/>
    <mergeCell ref="E21:F21"/>
    <mergeCell ref="F22:G22"/>
    <mergeCell ref="F23:G23"/>
    <mergeCell ref="F24:G24"/>
    <mergeCell ref="F25:G25"/>
  </mergeCells>
  <printOptions horizontalCentered="1"/>
  <pageMargins left="0.1968503937007874" right="0.1968503937007874" top="1.7716535433070868" bottom="0" header="0" footer="0"/>
  <pageSetup orientation="portrait" horizontalDpi="4294967295" verticalDpi="300" scale="82" fitToWidth="1" fitToHeight="1" firstPageNumber="1" useFirstPageNumber="1" copies="1"/>
  <headerFooter>
    <oddHeader>&amp;L&amp;9&amp;G&amp;C
&amp;G&amp;R
&amp;"-,Negrita"&amp;9RIF: J-40882759-0
PUERTO ORDAZ, ESTADO BOLÍVAR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K38"/>
  <sheetViews>
    <sheetView workbookViewId="0" zoomScale="55" zoomScaleNormal="100" view="pageBreakPreview">
      <selection activeCell="I44" sqref="I44"/>
    </sheetView>
  </sheetViews>
  <sheetFormatPr defaultRowHeight="15" outlineLevelRow="0" outlineLevelCol="0" x14ac:dyDescent="0.25"/>
  <cols>
    <col min="1" max="1" width="4.7109375" style="1" customWidth="1"/>
    <col min="2" max="2" width="7.140625" style="1" customWidth="1"/>
    <col min="3" max="3" width="5" style="1" customWidth="1"/>
    <col min="4" max="4" width="43.5703125" style="1" customWidth="1"/>
    <col min="5" max="5" width="6.28515625" style="1" customWidth="1"/>
    <col min="6" max="6" width="5.85546875" style="1" customWidth="1"/>
    <col min="7" max="7" width="12.85546875" style="1" customWidth="1"/>
    <col min="8" max="8" width="13" style="1" customWidth="1"/>
    <col min="9" max="9" width="15.140625" customWidth="1"/>
  </cols>
  <sheetData>
    <row r="1" ht="33" customHeight="1" spans="1:8" x14ac:dyDescent="0.25">
      <c r="A1" s="2" t="s">
        <v>0</v>
      </c>
      <c r="B1" s="2"/>
      <c r="C1" s="3" t="s">
        <v>49</v>
      </c>
      <c r="D1" s="3"/>
      <c r="E1" s="4"/>
      <c r="F1" s="4"/>
      <c r="G1" s="5" t="s">
        <v>1</v>
      </c>
      <c r="H1" s="5"/>
    </row>
    <row r="2" ht="12.95" customHeight="1" spans="3:8" x14ac:dyDescent="0.25">
      <c r="C2" s="6" t="s">
        <v>50</v>
      </c>
      <c r="D2" s="6"/>
      <c r="E2" s="7"/>
      <c r="F2" s="4"/>
      <c r="G2" s="8" t="s">
        <v>2</v>
      </c>
      <c r="H2" s="8" t="s">
        <v>3</v>
      </c>
    </row>
    <row r="3" ht="12.95" customHeight="1" spans="1:8" x14ac:dyDescent="0.25">
      <c r="A3" s="2" t="s">
        <v>4</v>
      </c>
      <c r="B3" s="2"/>
      <c r="C3" s="9"/>
      <c r="D3" s="9"/>
      <c r="E3" s="10"/>
      <c r="F3" s="4"/>
      <c r="G3" s="11" t="s">
        <v>51</v>
      </c>
      <c r="H3" s="12" t="s">
        <v>52</v>
      </c>
    </row>
    <row r="4" ht="12.95" customHeight="1" spans="3:8" x14ac:dyDescent="0.25">
      <c r="C4" s="13"/>
      <c r="D4" s="13"/>
      <c r="E4" s="13"/>
      <c r="F4" s="4"/>
      <c r="G4" s="8" t="s">
        <v>6</v>
      </c>
      <c r="H4" s="8" t="s">
        <v>7</v>
      </c>
    </row>
    <row r="5" ht="12.95" customHeight="1" spans="1:8" x14ac:dyDescent="0.25">
      <c r="A5" s="2" t="s">
        <v>8</v>
      </c>
      <c r="B5" s="2"/>
      <c r="C5" s="14" t="s">
        <v>53</v>
      </c>
      <c r="D5" s="14"/>
      <c r="E5" s="10"/>
      <c r="F5" s="4"/>
      <c r="G5" s="15" t="s">
        <v>54</v>
      </c>
      <c r="H5" s="16" t="s">
        <v>55</v>
      </c>
    </row>
    <row r="6" ht="12.75" customHeight="1" spans="3:8" x14ac:dyDescent="0.25">
      <c r="C6" s="13"/>
      <c r="D6" s="13"/>
      <c r="E6" s="13"/>
      <c r="F6" s="4"/>
      <c r="G6" s="17" t="s">
        <v>11</v>
      </c>
      <c r="H6" s="17" t="s">
        <v>12</v>
      </c>
    </row>
    <row r="7" ht="12.75" customHeight="1" spans="1:11" x14ac:dyDescent="0.25">
      <c r="A7" s="2" t="s">
        <v>13</v>
      </c>
      <c r="B7" s="2"/>
      <c r="C7" s="14" t="s">
        <v>56</v>
      </c>
      <c r="D7" s="14"/>
      <c r="E7" s="10"/>
      <c r="F7" s="4"/>
      <c r="G7" s="18" t="s">
        <v>57</v>
      </c>
      <c r="H7" s="19" t="s">
        <v>58</v>
      </c>
      <c r="I7" s="27" t="s">
        <v>28</v>
      </c>
      <c r="J7" s="27"/>
      <c r="K7" s="27"/>
    </row>
    <row r="8" ht="9" customHeight="1" spans="3:11" x14ac:dyDescent="0.25">
      <c r="C8" s="20"/>
      <c r="D8" s="20"/>
      <c r="E8" s="21"/>
      <c r="F8" s="4"/>
      <c r="G8" s="22"/>
      <c r="H8" s="23"/>
      <c r="I8" s="109" t="s">
        <v>59</v>
      </c>
      <c r="J8" s="109"/>
      <c r="K8" s="109"/>
    </row>
    <row r="9" ht="12.95" customHeight="1" spans="3:9" x14ac:dyDescent="0.25">
      <c r="C9" s="24"/>
      <c r="D9" s="24"/>
      <c r="E9" s="24"/>
      <c r="F9" s="4"/>
      <c r="G9" s="25"/>
      <c r="H9" s="25"/>
      <c r="I9" s="30"/>
    </row>
    <row r="10" ht="12.95" customHeight="1" spans="1:11" x14ac:dyDescent="0.25">
      <c r="A10" s="2" t="s">
        <v>16</v>
      </c>
      <c r="B10" s="2"/>
      <c r="C10" s="26" t="s">
        <v>57</v>
      </c>
      <c r="D10" s="26"/>
      <c r="E10" s="26"/>
      <c r="F10" s="4"/>
      <c r="G10" s="27" t="s">
        <v>17</v>
      </c>
      <c r="H10" s="28" t="s">
        <v>51</v>
      </c>
      <c r="I10" s="27" t="s">
        <v>37</v>
      </c>
      <c r="J10" s="27"/>
      <c r="K10" s="27"/>
    </row>
    <row r="11" ht="12.95" customHeight="1" spans="1:8" x14ac:dyDescent="0.25">
      <c r="A11" s="29"/>
      <c r="B11" s="29"/>
      <c r="C11" s="10"/>
      <c r="D11" s="10"/>
      <c r="E11" s="10"/>
      <c r="F11" s="4"/>
      <c r="G11" s="4"/>
      <c r="H11" s="4"/>
    </row>
    <row r="12" ht="22.5" customHeight="1" spans="1:7" x14ac:dyDescent="0.25">
      <c r="A12" s="110" t="s">
        <v>18</v>
      </c>
      <c r="B12" s="110" t="s">
        <v>19</v>
      </c>
      <c r="C12" s="110" t="s">
        <v>20</v>
      </c>
      <c r="D12" s="110" t="s">
        <v>21</v>
      </c>
      <c r="E12" s="111" t="s">
        <v>22</v>
      </c>
      <c r="F12" s="112" t="s">
        <v>23</v>
      </c>
      <c r="G12" s="112" t="s">
        <v>24</v>
      </c>
    </row>
    <row r="13" spans="1:8" x14ac:dyDescent="0.25">
      <c r="A13" s="113"/>
      <c r="B13" s="113"/>
      <c r="C13" s="113"/>
      <c r="D13" s="114" t="s">
        <v>25</v>
      </c>
      <c r="E13" s="115"/>
      <c r="F13" s="115"/>
      <c r="G13" s="116"/>
      <c r="H13" s="117"/>
    </row>
    <row r="14" ht="13.5" customHeight="1" spans="1:8" x14ac:dyDescent="0.25">
      <c r="A14" s="113">
        <v>-3</v>
      </c>
      <c r="B14" s="113" t="s">
        <v>60</v>
      </c>
      <c r="C14" s="113" t="s">
        <v>61</v>
      </c>
      <c r="D14" s="113" t="s">
        <v>62</v>
      </c>
      <c r="E14" s="113" t="s">
        <v>63</v>
      </c>
      <c r="F14" s="113" t="s">
        <v>64</v>
      </c>
      <c r="G14" s="116">
        <v>10000</v>
      </c>
      <c r="H14" s="118"/>
    </row>
    <row r="15" spans="1:9" x14ac:dyDescent="0.25">
      <c r="A15" s="119">
        <v>-2</v>
      </c>
      <c r="B15" s="119" t="s">
        <v>65</v>
      </c>
      <c r="C15" s="119" t="s">
        <v>61</v>
      </c>
      <c r="D15" s="119" t="s">
        <v>66</v>
      </c>
      <c r="E15" s="119" t="s">
        <v>61</v>
      </c>
      <c r="F15" s="119" t="s">
        <v>67</v>
      </c>
      <c r="G15" s="119">
        <v>2500</v>
      </c>
      <c r="H15" s="120"/>
      <c r="I15" s="30"/>
    </row>
    <row r="16" ht="11.25" customHeight="1" spans="1:9" x14ac:dyDescent="0.25">
      <c r="A16" s="119"/>
      <c r="B16" s="121"/>
      <c r="C16" s="121"/>
      <c r="D16" s="119"/>
      <c r="E16" s="119"/>
      <c r="F16" s="119"/>
      <c r="G16" s="119"/>
      <c r="H16" s="122"/>
      <c r="I16" s="30"/>
    </row>
    <row r="17" ht="12.75" customHeight="1" spans="1:9" x14ac:dyDescent="0.25">
      <c r="A17" s="123"/>
      <c r="B17" s="121"/>
      <c r="C17" s="121"/>
      <c r="D17" s="119"/>
      <c r="E17" s="119"/>
      <c r="F17" s="119"/>
      <c r="G17" s="119"/>
      <c r="H17" s="122"/>
      <c r="I17" s="30"/>
    </row>
    <row r="18" ht="12.75" customHeight="1" spans="1:9" x14ac:dyDescent="0.25">
      <c r="A18" s="123"/>
      <c r="B18" s="121"/>
      <c r="C18" s="121"/>
      <c r="D18" s="119"/>
      <c r="E18" s="119"/>
      <c r="F18" s="119"/>
      <c r="G18" s="119"/>
      <c r="H18" s="124"/>
      <c r="I18" s="30"/>
    </row>
    <row r="19" ht="12.75" customHeight="1" spans="1:9" x14ac:dyDescent="0.25">
      <c r="A19" s="123"/>
      <c r="B19" s="121"/>
      <c r="C19" s="121"/>
      <c r="D19" s="119"/>
      <c r="E19" s="119"/>
      <c r="F19" s="125"/>
      <c r="G19" s="125"/>
      <c r="H19" s="124"/>
      <c r="I19" s="30"/>
    </row>
    <row r="20" ht="11.25" customHeight="1" spans="1:9" x14ac:dyDescent="0.25">
      <c r="A20" s="119"/>
      <c r="B20" s="126"/>
      <c r="C20" s="126"/>
      <c r="D20" s="119"/>
      <c r="E20" s="126"/>
      <c r="F20" s="119"/>
      <c r="G20" s="119"/>
      <c r="H20" s="127"/>
      <c r="I20" s="30"/>
    </row>
    <row r="21" spans="1:9" x14ac:dyDescent="0.25">
      <c r="A21" s="119"/>
      <c r="B21" s="126"/>
      <c r="C21" s="126"/>
      <c r="D21" s="126"/>
      <c r="E21" s="126"/>
      <c r="F21" s="125"/>
      <c r="G21" s="125"/>
      <c r="H21" s="124"/>
      <c r="I21" s="30"/>
    </row>
    <row r="22" spans="1:9" x14ac:dyDescent="0.25">
      <c r="A22" s="119"/>
      <c r="B22" s="126"/>
      <c r="C22" s="126"/>
      <c r="D22" s="126"/>
      <c r="E22" s="126"/>
      <c r="F22" s="125"/>
      <c r="G22" s="125"/>
      <c r="H22" s="124"/>
      <c r="I22" s="30"/>
    </row>
    <row r="23" ht="12.75" customHeight="1" spans="1:9" x14ac:dyDescent="0.25">
      <c r="A23" s="119"/>
      <c r="B23" s="128"/>
      <c r="C23" s="128"/>
      <c r="D23" s="128"/>
      <c r="E23" s="128"/>
      <c r="F23" s="119"/>
      <c r="G23" s="119"/>
      <c r="H23" s="129"/>
      <c r="I23" s="30"/>
    </row>
    <row r="24" ht="11.25" customHeight="1" spans="1:9" x14ac:dyDescent="0.25">
      <c r="A24" s="119"/>
      <c r="B24" s="128"/>
      <c r="C24" s="128"/>
      <c r="D24" s="128"/>
      <c r="E24" s="128"/>
      <c r="F24" s="128"/>
      <c r="G24" s="128"/>
      <c r="H24" s="130"/>
      <c r="I24" s="30"/>
    </row>
    <row r="25" ht="8.25" customHeight="1" spans="1:9" x14ac:dyDescent="0.25">
      <c r="A25" s="128"/>
      <c r="B25" s="128"/>
      <c r="C25" s="128"/>
      <c r="D25" s="128"/>
      <c r="E25" s="128"/>
      <c r="F25" s="128"/>
      <c r="G25" s="128"/>
      <c r="H25" s="130"/>
      <c r="I25" s="30"/>
    </row>
    <row r="26" ht="14.1" customHeight="1" spans="1:9" x14ac:dyDescent="0.25">
      <c r="A26" s="128"/>
      <c r="B26" s="128"/>
      <c r="C26" s="128"/>
      <c r="D26" s="128"/>
      <c r="E26" s="128"/>
      <c r="F26" s="128"/>
      <c r="G26" s="128"/>
      <c r="H26" s="130"/>
      <c r="I26" s="30"/>
    </row>
    <row r="27" ht="14.1" customHeight="1" spans="1:9" x14ac:dyDescent="0.25">
      <c r="A27" s="119"/>
      <c r="B27" s="119"/>
      <c r="C27" s="119"/>
      <c r="D27" s="119"/>
      <c r="E27" s="119"/>
      <c r="F27" s="128"/>
      <c r="G27" s="128"/>
      <c r="H27" s="130"/>
      <c r="I27" s="30"/>
    </row>
    <row r="28" ht="14.1" customHeight="1" spans="1:9" x14ac:dyDescent="0.25">
      <c r="A28" s="119"/>
      <c r="B28" s="119"/>
      <c r="C28" s="119"/>
      <c r="D28" s="119"/>
      <c r="E28" s="119"/>
      <c r="F28" s="119"/>
      <c r="G28" s="119"/>
      <c r="H28" s="127"/>
      <c r="I28" s="30"/>
    </row>
    <row r="29" ht="14.1" customHeight="1" spans="1:9" x14ac:dyDescent="0.25">
      <c r="A29" s="131"/>
      <c r="B29" s="131"/>
      <c r="C29" s="131"/>
      <c r="D29" s="131"/>
      <c r="E29" s="131"/>
      <c r="F29" s="131"/>
      <c r="G29" s="131"/>
      <c r="H29" s="132"/>
      <c r="I29" s="30"/>
    </row>
    <row r="30" ht="14.1" customHeight="1" spans="1:9" x14ac:dyDescent="0.25">
      <c r="A30" s="4"/>
      <c r="B30" s="4"/>
      <c r="C30" s="4"/>
      <c r="D30" s="4"/>
      <c r="E30" s="4"/>
      <c r="F30" s="4"/>
      <c r="G30" s="4"/>
      <c r="H30" s="4"/>
      <c r="I30" s="30"/>
    </row>
    <row r="31" ht="14.1" customHeight="1" spans="1:9" x14ac:dyDescent="0.25">
      <c r="A31" s="4"/>
      <c r="B31" s="4"/>
      <c r="C31" s="4"/>
      <c r="D31" s="4"/>
      <c r="E31" s="4"/>
      <c r="F31" s="4"/>
      <c r="G31" s="4"/>
      <c r="H31" s="133" t="s">
        <v>35</v>
      </c>
      <c r="I31" s="30"/>
    </row>
    <row r="32" spans="1:10" x14ac:dyDescent="0.25">
      <c r="A32" s="4"/>
      <c r="B32" s="4"/>
      <c r="C32" s="4"/>
      <c r="D32" s="4"/>
      <c r="E32" s="4"/>
      <c r="F32" s="4"/>
      <c r="G32" s="4"/>
      <c r="H32" s="134">
        <v>12500</v>
      </c>
      <c r="I32" s="134"/>
      <c r="J32" s="133"/>
    </row>
    <row r="33" spans="6:10" x14ac:dyDescent="0.25">
      <c r="F33" s="4"/>
      <c r="G33" s="4"/>
      <c r="H33" s="4"/>
      <c r="I33" s="4"/>
      <c r="J33" s="4"/>
    </row>
    <row r="34" spans="9:9" x14ac:dyDescent="0.25"/>
    <row r="35" spans="9:9" x14ac:dyDescent="0.25"/>
    <row r="36" spans="9:9" x14ac:dyDescent="0.25"/>
    <row r="37" spans="9:9" x14ac:dyDescent="0.25"/>
    <row r="38" spans="9:9" x14ac:dyDescent="0.25"/>
  </sheetData>
  <mergeCells count="21">
    <mergeCell ref="A1:B1"/>
    <mergeCell ref="C1:D1"/>
    <mergeCell ref="G1:H1"/>
    <mergeCell ref="C2:D3"/>
    <mergeCell ref="A3:B3"/>
    <mergeCell ref="C4:E4"/>
    <mergeCell ref="A5:B5"/>
    <mergeCell ref="C5:D5"/>
    <mergeCell ref="C6:E6"/>
    <mergeCell ref="A7:B7"/>
    <mergeCell ref="C7:D7"/>
    <mergeCell ref="I7:K7"/>
    <mergeCell ref="G7:G8"/>
    <mergeCell ref="H7:H8"/>
    <mergeCell ref="I8:K8"/>
    <mergeCell ref="A10:B10"/>
    <mergeCell ref="C10:E10"/>
    <mergeCell ref="I10:K10"/>
    <mergeCell ref="C11:E11"/>
    <mergeCell ref="H32:I32"/>
    <mergeCell ref="I33:J33"/>
  </mergeCells>
  <printOptions horizontalCentered="1"/>
  <pageMargins left="0.1968503937007874" right="0.1968503937007874" top="1.7716535433070868" bottom="0" header="0" footer="0"/>
  <pageSetup orientation="portrait" horizontalDpi="4294967295" verticalDpi="300" scale="82" fitToWidth="1" fitToHeight="1" firstPageNumber="1" useFirstPageNumber="1" copies="1"/>
  <headerFooter>
    <oddHeader>&amp;L&amp;9&amp;G&amp;C
&amp;G&amp;R
&amp;"-,Negrita"&amp;9RIF: J-40882759-0
PUERTO ORDAZ, ESTADO BOLÍVAR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C.C. 24 - 0001</vt:lpstr>
      <vt:lpstr>C.C. 24 - 0001 (2)</vt:lpstr>
      <vt:lpstr>C.C. 24 - 0001 (3)</vt:lpstr>
      <vt:lpstr>Hoja1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licho</dc:creator>
  <cp:lastModifiedBy>angel</cp:lastModifiedBy>
  <cp:lastPrinted>2025-08-22T17:27:24Z</cp:lastPrinted>
  <dcterms:created xsi:type="dcterms:W3CDTF">2011-06-28T23:29:01Z</dcterms:created>
  <dcterms:modified xsi:type="dcterms:W3CDTF">2025-11-17T03:15:30Z</dcterms:modified>
</cp:coreProperties>
</file>